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LOAYINTLIMITED/Downloads/"/>
    </mc:Choice>
  </mc:AlternateContent>
  <xr:revisionPtr revIDLastSave="0" documentId="13_ncr:9_{8A3877B5-197D-1143-BF92-6B321ABFBA06}" xr6:coauthVersionLast="47" xr6:coauthVersionMax="47" xr10:uidLastSave="{00000000-0000-0000-0000-000000000000}"/>
  <bookViews>
    <workbookView xWindow="12760" yWindow="700" windowWidth="16640" windowHeight="17040" xr2:uid="{00000000-000D-0000-FFFF-FFFF00000000}"/>
  </bookViews>
  <sheets>
    <sheet name="Sheet1" sheetId="2" r:id="rId1"/>
    <sheet name="tiktok_data" sheetId="1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11" i="1"/>
  <c r="O9" i="1"/>
  <c r="O5" i="1"/>
  <c r="O8" i="1"/>
  <c r="O6" i="1"/>
  <c r="O3" i="1"/>
  <c r="O10" i="1"/>
  <c r="O2" i="1"/>
  <c r="O7" i="1"/>
</calcChain>
</file>

<file path=xl/sharedStrings.xml><?xml version="1.0" encoding="utf-8"?>
<sst xmlns="http://schemas.openxmlformats.org/spreadsheetml/2006/main" count="110" uniqueCount="79">
  <si>
    <t>video_id</t>
  </si>
  <si>
    <t>date_posted</t>
  </si>
  <si>
    <t>post_time_hour_24h</t>
  </si>
  <si>
    <t>day_of_week</t>
  </si>
  <si>
    <t>niche_category</t>
  </si>
  <si>
    <t>content_format</t>
  </si>
  <si>
    <t>hook_style</t>
  </si>
  <si>
    <t>video_duration_seconds</t>
  </si>
  <si>
    <t>views</t>
  </si>
  <si>
    <t>likes</t>
  </si>
  <si>
    <t>comments</t>
  </si>
  <si>
    <t>shares</t>
  </si>
  <si>
    <t>saves_or_favorites</t>
  </si>
  <si>
    <t>profile_visits</t>
  </si>
  <si>
    <t>followers_gained</t>
  </si>
  <si>
    <t>watch_time_percentage</t>
  </si>
  <si>
    <t>avg_watch_time_seconds</t>
  </si>
  <si>
    <t>hashtag_1</t>
  </si>
  <si>
    <t>hashtag_2</t>
  </si>
  <si>
    <t>hashtag_3</t>
  </si>
  <si>
    <t>total_hashtag_count</t>
  </si>
  <si>
    <t>Volunteer Programs That Can Help Your Visa</t>
  </si>
  <si>
    <t>Friday</t>
  </si>
  <si>
    <t>visa / volunteer abroad</t>
  </si>
  <si>
    <t>text overlay</t>
  </si>
  <si>
    <t>volunteerabroad</t>
  </si>
  <si>
    <t>scholarshipopportinities</t>
  </si>
  <si>
    <t>visasponsorship</t>
  </si>
  <si>
    <t>Thursday</t>
  </si>
  <si>
    <t>fully funded scholarship in Germany</t>
  </si>
  <si>
    <t>germanyscholarship</t>
  </si>
  <si>
    <t>studyabroad</t>
  </si>
  <si>
    <t>creatorsearchinsight</t>
  </si>
  <si>
    <t>fully funded scholarship in germany 2026/2027</t>
  </si>
  <si>
    <t xml:space="preserve">Austrialia 5- year visa </t>
  </si>
  <si>
    <t>Saturday</t>
  </si>
  <si>
    <t>visa /workvisa</t>
  </si>
  <si>
    <t>Looking to move to Austria</t>
  </si>
  <si>
    <t>study / summer school</t>
  </si>
  <si>
    <t>studyinaustria</t>
  </si>
  <si>
    <t>austriavisa</t>
  </si>
  <si>
    <t>europecommunities</t>
  </si>
  <si>
    <t>australiaimmigration</t>
  </si>
  <si>
    <t>jobsponsorship</t>
  </si>
  <si>
    <t>australiavisa</t>
  </si>
  <si>
    <t xml:space="preserve">Australia 5 years visa requirements </t>
  </si>
  <si>
    <t>Sunday</t>
  </si>
  <si>
    <t>australia491visa</t>
  </si>
  <si>
    <t>migrationtips</t>
  </si>
  <si>
    <t>visaopportunities</t>
  </si>
  <si>
    <t>fully funded fellowship in Italy</t>
  </si>
  <si>
    <t>Monday</t>
  </si>
  <si>
    <t>conference/fellowship</t>
  </si>
  <si>
    <t>fully funded</t>
  </si>
  <si>
    <t>careerabroad</t>
  </si>
  <si>
    <t>scholarshipalert</t>
  </si>
  <si>
    <t xml:space="preserve">Austrialia 5- year visa EOI </t>
  </si>
  <si>
    <t>australia5yearvisa</t>
  </si>
  <si>
    <t>Paid Internship</t>
  </si>
  <si>
    <t>stem</t>
  </si>
  <si>
    <t>paidintership</t>
  </si>
  <si>
    <t>top reason visa got rejected</t>
  </si>
  <si>
    <t>visa</t>
  </si>
  <si>
    <t>europejobs</t>
  </si>
  <si>
    <t>visarejection</t>
  </si>
  <si>
    <t>Canada visa sponsorship</t>
  </si>
  <si>
    <t>canadajobs</t>
  </si>
  <si>
    <t>title_or_short_description</t>
  </si>
  <si>
    <t>text_overlay</t>
  </si>
  <si>
    <t>voiceover</t>
  </si>
  <si>
    <t>screen_recording</t>
  </si>
  <si>
    <t>question</t>
  </si>
  <si>
    <t>fomo</t>
  </si>
  <si>
    <t>value</t>
  </si>
  <si>
    <t>tutorial</t>
  </si>
  <si>
    <t>engagement_rate</t>
  </si>
  <si>
    <t>Row Labels</t>
  </si>
  <si>
    <t>Grand Total</t>
  </si>
  <si>
    <t>Sum of engagement_rate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</si>
</sst>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0" fontId="0" fillId="0" borderId="0" xfId="0" applyNumberFormat="1"/>
    <xf numFmtId="20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[tiktok_data.xlsx]Sheet1!PivotTable1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i="0"/>
              <a:t>Average Engagement Rate by Hook Style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fomo</c:v>
                </c:pt>
                <c:pt idx="1">
                  <c:v>question</c:v>
                </c:pt>
                <c:pt idx="2">
                  <c:v>tutorial</c:v>
                </c:pt>
                <c:pt idx="3">
                  <c:v>value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0.26166529327042432</c:v>
                </c:pt>
                <c:pt idx="1">
                  <c:v>7.7744807121661721E-2</c:v>
                </c:pt>
                <c:pt idx="2">
                  <c:v>7.4103271580607019E-2</c:v>
                </c:pt>
                <c:pt idx="3">
                  <c:v>0.17455094182254469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8-4342-A0BE-95CE268D1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1681152"/>
        <c:axId val="1031683392"/>
      </c:barChart>
      <c:catAx>
        <c:axId val="1031681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683392"/>
        <c:crosses val="autoZero"/>
        <c:auto val="1"/>
        <c:lblAlgn val="ctr"/>
        <c:lblOffset val="100"/>
        <c:noMultiLvlLbl val="0"/>
      </c:catAx>
      <c:valAx>
        <c:axId val="103168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68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Rate of Top 10 TikTok Videos</a:t>
            </a:r>
          </a:p>
          <a:p>
            <a:pPr>
              <a:defRPr/>
            </a:pPr>
            <a:r>
              <a:rPr lang="en-US"/>
              <a:t>Dataset: 10 recent high-engagement videos (November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tiktok_data!$O$1</c:f>
              <c:strCache>
                <c:ptCount val="1"/>
                <c:pt idx="0">
                  <c:v>engagement_rate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tiktok_data!$B$2:$B$11</c:f>
              <c:strCache>
                <c:ptCount val="10"/>
                <c:pt idx="0">
                  <c:v>fully funded scholarship in germany 2026/2027</c:v>
                </c:pt>
                <c:pt idx="1">
                  <c:v>Looking to move to Austria</c:v>
                </c:pt>
                <c:pt idx="2">
                  <c:v>Canada visa sponsorship</c:v>
                </c:pt>
                <c:pt idx="3">
                  <c:v>Austrialia 5- year visa EOI </c:v>
                </c:pt>
                <c:pt idx="4">
                  <c:v>Australia 5 years visa requirements </c:v>
                </c:pt>
                <c:pt idx="5">
                  <c:v>Volunteer Programs That Can Help Your Visa</c:v>
                </c:pt>
                <c:pt idx="6">
                  <c:v>fully funded fellowship in Italy</c:v>
                </c:pt>
                <c:pt idx="7">
                  <c:v>Paid Internship</c:v>
                </c:pt>
                <c:pt idx="8">
                  <c:v>Austrialia 5- year visa </c:v>
                </c:pt>
                <c:pt idx="9">
                  <c:v>top reason visa got rejected</c:v>
                </c:pt>
              </c:strCache>
            </c:strRef>
          </c:cat>
          <c:val>
            <c:numRef>
              <c:f>tiktok_data!$O$2:$O$11</c:f>
              <c:numCache>
                <c:formatCode>General</c:formatCode>
                <c:ptCount val="10"/>
                <c:pt idx="0">
                  <c:v>8.9023336214347451E-2</c:v>
                </c:pt>
                <c:pt idx="1">
                  <c:v>8.5907814306955224E-2</c:v>
                </c:pt>
                <c:pt idx="2">
                  <c:v>7.7744807121661721E-2</c:v>
                </c:pt>
                <c:pt idx="3">
                  <c:v>7.4103271580607019E-2</c:v>
                </c:pt>
                <c:pt idx="4">
                  <c:v>6.4566655064392617E-2</c:v>
                </c:pt>
                <c:pt idx="5">
                  <c:v>5.5298840996894173E-2</c:v>
                </c:pt>
                <c:pt idx="6">
                  <c:v>5.2320675105485229E-2</c:v>
                </c:pt>
                <c:pt idx="7">
                  <c:v>4.1822255414488425E-2</c:v>
                </c:pt>
                <c:pt idx="8">
                  <c:v>2.5109170305676855E-2</c:v>
                </c:pt>
                <c:pt idx="9">
                  <c:v>2.2167487684729065E-2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A-AD46-8769-7DB7BE999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8067712"/>
        <c:axId val="1058810816"/>
      </c:barChart>
      <c:catAx>
        <c:axId val="1058067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810816"/>
        <c:crosses val="autoZero"/>
        <c:auto val="1"/>
        <c:lblAlgn val="ctr"/>
        <c:lblOffset val="100"/>
        <c:noMultiLvlLbl val="0"/>
      </c:catAx>
      <c:valAx>
        <c:axId val="105881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06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742950</xdr:colOff>
      <xdr:row>12</xdr:row>
      <xdr:rowOff>165100</xdr:rowOff>
    </xdr:from>
    <xdr:to>
      <xdr:col>5</xdr:col>
      <xdr:colOff>349250</xdr:colOff>
      <xdr:row>27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247EA5-FC05-6C59-2794-C395DE160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532507</xdr:colOff>
      <xdr:row>12</xdr:row>
      <xdr:rowOff>121206</xdr:rowOff>
    </xdr:from>
    <xdr:to>
      <xdr:col>12</xdr:col>
      <xdr:colOff>189386</xdr:colOff>
      <xdr:row>35</xdr:row>
      <xdr:rowOff>66842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751076-C5B8-1658-2318-C98FD4D192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LOAY INT LIMITED" refreshedDate="45990.413911689815" createdVersion="8" refreshedVersion="8" minRefreshableVersion="3" recordCount="10" xr:uid="{FF9E44BC-015B-214F-95D6-98384C859B0B}">
  <cacheSource type="worksheet">
    <worksheetSource ref="B1:W11" sheet="tiktok_data"/>
  </cacheSource>
  <cacheFields count="22">
    <cacheField name="title_or_short_description" numFmtId="0">
      <sharedItems/>
    </cacheField>
    <cacheField name="date_posted" numFmtId="14">
      <sharedItems containsSemiMixedTypes="0" containsNonDate="0" containsDate="1" containsString="0" minDate="2025-11-20T00:00:00" maxDate="2025-11-25T00:00:00"/>
    </cacheField>
    <cacheField name="post_time_hour_24h" numFmtId="20">
      <sharedItems containsSemiMixedTypes="0" containsNonDate="0" containsDate="1" containsString="0" minDate="1899-12-30T08:51:00" maxDate="1899-12-30T21:32:00"/>
    </cacheField>
    <cacheField name="day_of_week" numFmtId="0">
      <sharedItems/>
    </cacheField>
    <cacheField name="niche_category" numFmtId="0">
      <sharedItems/>
    </cacheField>
    <cacheField name="content_format" numFmtId="0">
      <sharedItems/>
    </cacheField>
    <cacheField name="hook_style" numFmtId="0">
      <sharedItems count="4">
        <s v="fomo"/>
        <s v="question"/>
        <s v="tutorial"/>
        <s v="value"/>
      </sharedItems>
    </cacheField>
    <cacheField name="video_duration_seconds" numFmtId="0">
      <sharedItems containsSemiMixedTypes="0" containsString="0" containsNumber="1" minValue="6.5" maxValue="53.92"/>
    </cacheField>
    <cacheField name="views" numFmtId="0">
      <sharedItems containsSemiMixedTypes="0" containsString="0" containsNumber="1" containsInteger="1" minValue="1218" maxValue="26402"/>
    </cacheField>
    <cacheField name="likes" numFmtId="0">
      <sharedItems containsSemiMixedTypes="0" containsString="0" containsNumber="1" containsInteger="1" minValue="23" maxValue="968"/>
    </cacheField>
    <cacheField name="comments" numFmtId="0">
      <sharedItems containsSemiMixedTypes="0" containsString="0" containsNumber="1" containsInteger="1" minValue="2" maxValue="284"/>
    </cacheField>
    <cacheField name="shares" numFmtId="0">
      <sharedItems containsSemiMixedTypes="0" containsString="0" containsNumber="1" containsInteger="1" minValue="0" maxValue="231"/>
    </cacheField>
    <cacheField name="saves_or_favorites" numFmtId="0">
      <sharedItems containsSemiMixedTypes="0" containsString="0" containsNumber="1" containsInteger="1" minValue="2" maxValue="489"/>
    </cacheField>
    <cacheField name="engagement_rate" numFmtId="0">
      <sharedItems containsSemiMixedTypes="0" containsString="0" containsNumber="1" minValue="2.2167487684729065E-2" maxValue="8.9023336214347451E-2"/>
    </cacheField>
    <cacheField name="profile_visits" numFmtId="0">
      <sharedItems containsNonDate="0" containsString="0" containsBlank="1"/>
    </cacheField>
    <cacheField name="followers_gained" numFmtId="0">
      <sharedItems containsSemiMixedTypes="0" containsString="0" containsNumber="1" containsInteger="1" minValue="1" maxValue="290"/>
    </cacheField>
    <cacheField name="watch_time_percentage" numFmtId="10">
      <sharedItems containsSemiMixedTypes="0" containsString="0" containsNumber="1" minValue="5.8400000000000001E-2" maxValue="0.33989999999999998"/>
    </cacheField>
    <cacheField name="avg_watch_time_seconds" numFmtId="0">
      <sharedItems containsSemiMixedTypes="0" containsString="0" containsNumber="1" minValue="5" maxValue="14.1"/>
    </cacheField>
    <cacheField name="hashtag_1" numFmtId="0">
      <sharedItems/>
    </cacheField>
    <cacheField name="hashtag_2" numFmtId="0">
      <sharedItems/>
    </cacheField>
    <cacheField name="hashtag_3" numFmtId="0">
      <sharedItems/>
    </cacheField>
    <cacheField name="total_hashtag_count" numFmtId="0">
      <sharedItems containsSemiMixedTypes="0" containsString="0" containsNumber="1" containsInteger="1" minValue="5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fully funded scholarship in germany 2026/2027"/>
    <d v="2025-11-20T00:00:00"/>
    <d v="1899-12-30T19:31:00"/>
    <s v="Thursday"/>
    <s v="fully funded scholarship in Germany"/>
    <s v="voiceover"/>
    <x v="0"/>
    <n v="53.92"/>
    <n v="21983"/>
    <n v="968"/>
    <n v="269"/>
    <n v="231"/>
    <n v="489"/>
    <n v="8.9023336214347451E-2"/>
    <m/>
    <n v="290"/>
    <n v="0.28129999999999999"/>
    <n v="6.4"/>
    <s v="volunteerabroad"/>
    <s v="scholarshipopportinities"/>
    <s v="visasponsorship"/>
    <n v="5"/>
  </r>
  <r>
    <s v="Looking to move to Austria"/>
    <d v="2025-11-22T00:00:00"/>
    <d v="1899-12-30T19:30:00"/>
    <s v="Saturday"/>
    <s v="study / summer school"/>
    <s v="voiceover"/>
    <x v="0"/>
    <n v="41.4"/>
    <n v="12106"/>
    <n v="500"/>
    <n v="261"/>
    <n v="106"/>
    <n v="173"/>
    <n v="8.5907814306955224E-2"/>
    <m/>
    <n v="288"/>
    <n v="6.1499999999999999E-2"/>
    <n v="11.9"/>
    <s v="germanyscholarship"/>
    <s v="studyabroad"/>
    <s v="creatorsearchinsight"/>
    <n v="5"/>
  </r>
  <r>
    <s v="Canada visa sponsorship"/>
    <d v="2025-11-21T00:00:00"/>
    <d v="1899-12-30T10:50:00"/>
    <s v="Friday"/>
    <s v="visa /workvisa"/>
    <s v="voiceover"/>
    <x v="1"/>
    <n v="52.5"/>
    <n v="1685"/>
    <n v="51"/>
    <n v="41"/>
    <n v="15"/>
    <n v="24"/>
    <n v="7.7744807121661721E-2"/>
    <m/>
    <n v="73"/>
    <n v="0.33989999999999998"/>
    <n v="5.8"/>
    <s v="australiavisa"/>
    <s v="jobsponsorship"/>
    <s v="australiaimmigration"/>
    <n v="5"/>
  </r>
  <r>
    <s v="Austrialia 5- year visa EOI "/>
    <d v="2025-11-24T00:00:00"/>
    <d v="1899-12-30T19:59:00"/>
    <s v="Monday"/>
    <s v="visa /workvisa"/>
    <s v="screen_recording"/>
    <x v="2"/>
    <n v="46.11"/>
    <n v="2537"/>
    <n v="95"/>
    <n v="9"/>
    <n v="29"/>
    <n v="55"/>
    <n v="7.4103271580607019E-2"/>
    <m/>
    <n v="242"/>
    <n v="0.1147"/>
    <n v="14.1"/>
    <s v="studyinaustria"/>
    <s v="austriavisa"/>
    <s v="europecommunities"/>
    <n v="5"/>
  </r>
  <r>
    <s v="Australia 5 years visa requirements "/>
    <d v="2025-11-23T00:00:00"/>
    <d v="1899-12-30T21:32:00"/>
    <s v="Sunday"/>
    <s v="visa /workvisa"/>
    <s v="voiceover"/>
    <x v="0"/>
    <n v="43.8"/>
    <n v="5746"/>
    <n v="200"/>
    <n v="59"/>
    <n v="25"/>
    <n v="87"/>
    <n v="6.4566655064392617E-2"/>
    <m/>
    <n v="79"/>
    <n v="6.9099999999999995E-2"/>
    <n v="11.7"/>
    <s v="australia491visa"/>
    <s v="migrationtips"/>
    <s v="visaopportunities"/>
    <n v="5"/>
  </r>
  <r>
    <s v="Volunteer Programs That Can Help Your Visa"/>
    <d v="2025-11-21T00:00:00"/>
    <d v="1899-12-30T18:06:00"/>
    <s v="Friday"/>
    <s v="visa / volunteer abroad"/>
    <s v="text_overlay"/>
    <x v="3"/>
    <n v="8.8699999999999992"/>
    <n v="26402"/>
    <n v="627"/>
    <n v="284"/>
    <n v="192"/>
    <n v="357"/>
    <n v="5.5298840996894173E-2"/>
    <m/>
    <n v="15"/>
    <n v="0.2046"/>
    <n v="5"/>
    <s v="fully funded"/>
    <s v="careerabroad"/>
    <s v="scholarshipalert"/>
    <n v="5"/>
  </r>
  <r>
    <s v="fully funded fellowship in Italy"/>
    <d v="2025-11-24T00:00:00"/>
    <d v="1899-12-30T13:48:00"/>
    <s v="Monday"/>
    <s v="conference/fellowship"/>
    <s v="text overlay"/>
    <x v="3"/>
    <n v="7.7"/>
    <n v="3555"/>
    <n v="83"/>
    <n v="49"/>
    <n v="10"/>
    <n v="44"/>
    <n v="5.2320675105485229E-2"/>
    <m/>
    <n v="18"/>
    <n v="5.8400000000000001E-2"/>
    <n v="9"/>
    <s v="australiavisa"/>
    <s v="australia5yearvisa"/>
    <s v="australiaimmigration"/>
    <n v="5"/>
  </r>
  <r>
    <s v="Paid Internship"/>
    <d v="2025-11-22T00:00:00"/>
    <d v="1899-12-30T13:37:00"/>
    <s v="Saturday"/>
    <s v="Paid Internship"/>
    <s v="text_overlay"/>
    <x v="3"/>
    <n v="8.27"/>
    <n v="1339"/>
    <n v="37"/>
    <n v="8"/>
    <n v="1"/>
    <n v="10"/>
    <n v="4.1822255414488425E-2"/>
    <m/>
    <n v="6"/>
    <n v="0.2137"/>
    <n v="5"/>
    <s v="stem"/>
    <s v="paidintership"/>
    <s v="creatorsearchinsight"/>
    <n v="5"/>
  </r>
  <r>
    <s v="Austrialia 5- year visa "/>
    <d v="2025-11-22T00:00:00"/>
    <d v="1899-12-30T08:51:00"/>
    <s v="Saturday"/>
    <s v="visa /workvisa"/>
    <s v="text_overlay"/>
    <x v="3"/>
    <n v="6.6"/>
    <n v="12824"/>
    <n v="142"/>
    <n v="110"/>
    <n v="27"/>
    <n v="43"/>
    <n v="2.5109170305676855E-2"/>
    <m/>
    <n v="1"/>
    <n v="0.2273"/>
    <n v="5.0999999999999996"/>
    <s v="migrationtips"/>
    <s v="europejobs"/>
    <s v="visarejection"/>
    <n v="5"/>
  </r>
  <r>
    <s v="top reason visa got rejected"/>
    <d v="2025-11-21T00:00:00"/>
    <d v="1899-12-30T10:49:00"/>
    <s v="Friday"/>
    <s v="visa"/>
    <s v="text_overlay"/>
    <x v="0"/>
    <n v="6.5"/>
    <n v="1218"/>
    <n v="23"/>
    <n v="2"/>
    <n v="0"/>
    <n v="2"/>
    <n v="2.2167487684729065E-2"/>
    <m/>
    <n v="28"/>
    <n v="9.5199999999999993E-2"/>
    <n v="14"/>
    <s v="visasponsorship"/>
    <s v="canadajobs"/>
    <s v="creatorsearchinsight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F2241-3947-A04B-A416-6E2E8DFA0F8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22">
    <pivotField showAll="0"/>
    <pivotField numFmtId="14" showAll="0"/>
    <pivotField numFmtId="20"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0"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ngagement_rate" fld="1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70A6-AEBD-534E-88C8-0B8B5FBD0734}">
  <dimension ref="A3:B8"/>
  <sheetViews>
    <sheetView tabSelected="1" workbookViewId="0">
      <selection activeCell="A17" sqref="A17"/>
    </sheetView>
  </sheetViews>
  <sheetFormatPr baseColWidth="10" defaultRowHeight="15" x14ac:dyDescent="0.2"/>
  <cols>
    <col min="1" max="1" width="12.1640625" bestFit="1" customWidth="1"/>
    <col min="2" max="2" width="20.5" bestFit="1" customWidth="1"/>
  </cols>
  <sheetData>
    <row r="3" spans="1:2" x14ac:dyDescent="0.2">
      <c r="A3" s="6" t="s">
        <v>76</v>
      </c>
      <c r="B3" t="s">
        <v>78</v>
      </c>
    </row>
    <row r="4" spans="1:2" x14ac:dyDescent="0.2">
      <c r="A4" s="7" t="s">
        <v>72</v>
      </c>
      <c r="B4" s="8">
        <v>0.26166529327042432</v>
      </c>
    </row>
    <row r="5" spans="1:2" x14ac:dyDescent="0.2">
      <c r="A5" s="7" t="s">
        <v>71</v>
      </c>
      <c r="B5" s="8">
        <v>7.7744807121661721E-2</v>
      </c>
    </row>
    <row r="6" spans="1:2" x14ac:dyDescent="0.2">
      <c r="A6" s="7" t="s">
        <v>74</v>
      </c>
      <c r="B6" s="8">
        <v>7.4103271580607019E-2</v>
      </c>
    </row>
    <row r="7" spans="1:2" x14ac:dyDescent="0.2">
      <c r="A7" s="7" t="s">
        <v>73</v>
      </c>
      <c r="B7" s="8">
        <v>0.17455094182254469</v>
      </c>
    </row>
    <row r="8" spans="1:2" x14ac:dyDescent="0.2">
      <c r="A8" s="7" t="s">
        <v>77</v>
      </c>
      <c r="B8" s="8">
        <v>0.58806431379523771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"/>
  <sheetViews>
    <sheetView topLeftCell="C1" zoomScale="114" zoomScaleNormal="114" workbookViewId="0">
      <selection activeCell="B1" sqref="B1:W11"/>
    </sheetView>
  </sheetViews>
  <sheetFormatPr baseColWidth="10" defaultColWidth="8.83203125" defaultRowHeight="15" x14ac:dyDescent="0.2"/>
  <cols>
    <col min="2" max="2" width="13.6640625" customWidth="1"/>
    <col min="3" max="3" width="10.5" bestFit="1" customWidth="1"/>
    <col min="6" max="6" width="14" customWidth="1"/>
    <col min="7" max="7" width="18" customWidth="1"/>
    <col min="14" max="15" width="15.83203125" customWidth="1"/>
    <col min="23" max="23" width="12.5" customWidth="1"/>
    <col min="24" max="24" width="16" customWidth="1"/>
  </cols>
  <sheetData>
    <row r="1" spans="1:24" x14ac:dyDescent="0.2">
      <c r="A1" s="1" t="s">
        <v>0</v>
      </c>
      <c r="B1" s="1" t="s">
        <v>67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75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5"/>
    </row>
    <row r="2" spans="1:24" x14ac:dyDescent="0.2">
      <c r="B2" t="s">
        <v>33</v>
      </c>
      <c r="C2" s="2">
        <v>45981</v>
      </c>
      <c r="D2" s="4">
        <v>0.81319444444444444</v>
      </c>
      <c r="E2" t="s">
        <v>28</v>
      </c>
      <c r="F2" t="s">
        <v>29</v>
      </c>
      <c r="G2" t="s">
        <v>69</v>
      </c>
      <c r="H2" t="s">
        <v>72</v>
      </c>
      <c r="I2">
        <v>53.92</v>
      </c>
      <c r="J2">
        <v>21983</v>
      </c>
      <c r="K2">
        <v>968</v>
      </c>
      <c r="L2">
        <v>269</v>
      </c>
      <c r="M2">
        <v>231</v>
      </c>
      <c r="N2">
        <v>489</v>
      </c>
      <c r="O2">
        <f>(K2+L2+M2+N2)/J2</f>
        <v>8.9023336214347451E-2</v>
      </c>
      <c r="Q2">
        <v>290</v>
      </c>
      <c r="R2" s="3">
        <v>0.28129999999999999</v>
      </c>
      <c r="S2">
        <v>6.4</v>
      </c>
      <c r="T2" t="s">
        <v>25</v>
      </c>
      <c r="U2" t="s">
        <v>26</v>
      </c>
      <c r="V2" t="s">
        <v>27</v>
      </c>
      <c r="W2">
        <v>5</v>
      </c>
    </row>
    <row r="3" spans="1:24" x14ac:dyDescent="0.2">
      <c r="B3" t="s">
        <v>37</v>
      </c>
      <c r="C3" s="2">
        <v>45983</v>
      </c>
      <c r="D3" s="4">
        <v>0.8125</v>
      </c>
      <c r="E3" t="s">
        <v>35</v>
      </c>
      <c r="F3" t="s">
        <v>38</v>
      </c>
      <c r="G3" t="s">
        <v>69</v>
      </c>
      <c r="H3" t="s">
        <v>72</v>
      </c>
      <c r="I3">
        <v>41.4</v>
      </c>
      <c r="J3">
        <v>12106</v>
      </c>
      <c r="K3">
        <v>500</v>
      </c>
      <c r="L3">
        <v>261</v>
      </c>
      <c r="M3">
        <v>106</v>
      </c>
      <c r="N3">
        <v>173</v>
      </c>
      <c r="O3">
        <f>(K3+L3+M3+N3)/J3</f>
        <v>8.5907814306955224E-2</v>
      </c>
      <c r="Q3">
        <v>288</v>
      </c>
      <c r="R3" s="3">
        <v>6.1499999999999999E-2</v>
      </c>
      <c r="S3">
        <v>11.9</v>
      </c>
      <c r="T3" t="s">
        <v>30</v>
      </c>
      <c r="U3" t="s">
        <v>31</v>
      </c>
      <c r="V3" t="s">
        <v>32</v>
      </c>
      <c r="W3">
        <v>5</v>
      </c>
    </row>
    <row r="4" spans="1:24" x14ac:dyDescent="0.2">
      <c r="B4" t="s">
        <v>65</v>
      </c>
      <c r="C4" s="2">
        <v>45982</v>
      </c>
      <c r="D4" s="4">
        <v>0.4513888888888889</v>
      </c>
      <c r="E4" t="s">
        <v>22</v>
      </c>
      <c r="F4" t="s">
        <v>36</v>
      </c>
      <c r="G4" t="s">
        <v>69</v>
      </c>
      <c r="H4" t="s">
        <v>71</v>
      </c>
      <c r="I4">
        <v>52.5</v>
      </c>
      <c r="J4">
        <v>1685</v>
      </c>
      <c r="K4">
        <v>51</v>
      </c>
      <c r="L4">
        <v>41</v>
      </c>
      <c r="M4">
        <v>15</v>
      </c>
      <c r="N4">
        <v>24</v>
      </c>
      <c r="O4">
        <f>(K4+L4+M4+N4)/J4</f>
        <v>7.7744807121661721E-2</v>
      </c>
      <c r="Q4">
        <v>73</v>
      </c>
      <c r="R4" s="3">
        <v>0.33989999999999998</v>
      </c>
      <c r="S4">
        <v>5.8</v>
      </c>
      <c r="T4" t="s">
        <v>44</v>
      </c>
      <c r="U4" t="s">
        <v>43</v>
      </c>
      <c r="V4" t="s">
        <v>42</v>
      </c>
      <c r="W4">
        <v>5</v>
      </c>
    </row>
    <row r="5" spans="1:24" x14ac:dyDescent="0.2">
      <c r="B5" t="s">
        <v>56</v>
      </c>
      <c r="C5" s="2">
        <v>45985</v>
      </c>
      <c r="D5" s="4">
        <v>0.83263888888888893</v>
      </c>
      <c r="E5" t="s">
        <v>51</v>
      </c>
      <c r="F5" t="s">
        <v>36</v>
      </c>
      <c r="G5" t="s">
        <v>70</v>
      </c>
      <c r="H5" t="s">
        <v>74</v>
      </c>
      <c r="I5">
        <v>46.11</v>
      </c>
      <c r="J5">
        <v>2537</v>
      </c>
      <c r="K5">
        <v>95</v>
      </c>
      <c r="L5">
        <v>9</v>
      </c>
      <c r="M5">
        <v>29</v>
      </c>
      <c r="N5">
        <v>55</v>
      </c>
      <c r="O5">
        <f>(K5+L5+M5+N5)/J5</f>
        <v>7.4103271580607019E-2</v>
      </c>
      <c r="Q5">
        <v>242</v>
      </c>
      <c r="R5" s="3">
        <v>0.1147</v>
      </c>
      <c r="S5">
        <v>14.1</v>
      </c>
      <c r="T5" t="s">
        <v>39</v>
      </c>
      <c r="U5" t="s">
        <v>40</v>
      </c>
      <c r="V5" t="s">
        <v>41</v>
      </c>
      <c r="W5">
        <v>5</v>
      </c>
    </row>
    <row r="6" spans="1:24" x14ac:dyDescent="0.2">
      <c r="B6" t="s">
        <v>45</v>
      </c>
      <c r="C6" s="2">
        <v>45984</v>
      </c>
      <c r="D6" s="4">
        <v>0.89722222222222225</v>
      </c>
      <c r="E6" t="s">
        <v>46</v>
      </c>
      <c r="F6" t="s">
        <v>36</v>
      </c>
      <c r="G6" t="s">
        <v>69</v>
      </c>
      <c r="H6" t="s">
        <v>72</v>
      </c>
      <c r="I6">
        <v>43.8</v>
      </c>
      <c r="J6">
        <v>5746</v>
      </c>
      <c r="K6">
        <v>200</v>
      </c>
      <c r="L6">
        <v>59</v>
      </c>
      <c r="M6">
        <v>25</v>
      </c>
      <c r="N6">
        <v>87</v>
      </c>
      <c r="O6">
        <f>(K6+L6+M6+N6)/J6</f>
        <v>6.4566655064392617E-2</v>
      </c>
      <c r="Q6">
        <v>79</v>
      </c>
      <c r="R6" s="3">
        <v>6.9099999999999995E-2</v>
      </c>
      <c r="S6">
        <v>11.7</v>
      </c>
      <c r="T6" t="s">
        <v>47</v>
      </c>
      <c r="U6" t="s">
        <v>48</v>
      </c>
      <c r="V6" t="s">
        <v>49</v>
      </c>
      <c r="W6">
        <v>5</v>
      </c>
    </row>
    <row r="7" spans="1:24" x14ac:dyDescent="0.2">
      <c r="B7" t="s">
        <v>21</v>
      </c>
      <c r="C7" s="2">
        <v>45982</v>
      </c>
      <c r="D7" s="4">
        <v>0.75416666666666665</v>
      </c>
      <c r="E7" t="s">
        <v>22</v>
      </c>
      <c r="F7" t="s">
        <v>23</v>
      </c>
      <c r="G7" t="s">
        <v>68</v>
      </c>
      <c r="H7" t="s">
        <v>73</v>
      </c>
      <c r="I7">
        <v>8.8699999999999992</v>
      </c>
      <c r="J7">
        <v>26402</v>
      </c>
      <c r="K7">
        <v>627</v>
      </c>
      <c r="L7">
        <v>284</v>
      </c>
      <c r="M7">
        <v>192</v>
      </c>
      <c r="N7">
        <v>357</v>
      </c>
      <c r="O7">
        <f>(K7+L7+M7+N7)/J7</f>
        <v>5.5298840996894173E-2</v>
      </c>
      <c r="Q7">
        <v>15</v>
      </c>
      <c r="R7" s="3">
        <v>0.2046</v>
      </c>
      <c r="S7">
        <v>5</v>
      </c>
      <c r="T7" t="s">
        <v>53</v>
      </c>
      <c r="U7" t="s">
        <v>54</v>
      </c>
      <c r="V7" t="s">
        <v>55</v>
      </c>
      <c r="W7">
        <v>5</v>
      </c>
    </row>
    <row r="8" spans="1:24" x14ac:dyDescent="0.2">
      <c r="B8" t="s">
        <v>50</v>
      </c>
      <c r="C8" s="2">
        <v>45985</v>
      </c>
      <c r="D8" s="4">
        <v>0.57499999999999996</v>
      </c>
      <c r="E8" t="s">
        <v>51</v>
      </c>
      <c r="F8" t="s">
        <v>52</v>
      </c>
      <c r="G8" t="s">
        <v>24</v>
      </c>
      <c r="H8" t="s">
        <v>73</v>
      </c>
      <c r="I8">
        <v>7.7</v>
      </c>
      <c r="J8">
        <v>3555</v>
      </c>
      <c r="K8">
        <v>83</v>
      </c>
      <c r="L8">
        <v>49</v>
      </c>
      <c r="M8">
        <v>10</v>
      </c>
      <c r="N8">
        <v>44</v>
      </c>
      <c r="O8">
        <f>(K8+L8+M8+N8)/J8</f>
        <v>5.2320675105485229E-2</v>
      </c>
      <c r="Q8">
        <v>18</v>
      </c>
      <c r="R8" s="3">
        <v>5.8400000000000001E-2</v>
      </c>
      <c r="S8">
        <v>9</v>
      </c>
      <c r="T8" t="s">
        <v>44</v>
      </c>
      <c r="U8" t="s">
        <v>57</v>
      </c>
      <c r="V8" t="s">
        <v>42</v>
      </c>
      <c r="W8">
        <v>5</v>
      </c>
    </row>
    <row r="9" spans="1:24" x14ac:dyDescent="0.2">
      <c r="B9" t="s">
        <v>58</v>
      </c>
      <c r="C9" s="2">
        <v>45983</v>
      </c>
      <c r="D9" s="4">
        <v>0.56736111111111109</v>
      </c>
      <c r="E9" t="s">
        <v>35</v>
      </c>
      <c r="F9" t="s">
        <v>58</v>
      </c>
      <c r="G9" t="s">
        <v>68</v>
      </c>
      <c r="H9" t="s">
        <v>73</v>
      </c>
      <c r="I9">
        <v>8.27</v>
      </c>
      <c r="J9">
        <v>1339</v>
      </c>
      <c r="K9">
        <v>37</v>
      </c>
      <c r="L9">
        <v>8</v>
      </c>
      <c r="M9">
        <v>1</v>
      </c>
      <c r="N9">
        <v>10</v>
      </c>
      <c r="O9">
        <f>(K9+L9+M9+N9)/J9</f>
        <v>4.1822255414488425E-2</v>
      </c>
      <c r="Q9">
        <v>6</v>
      </c>
      <c r="R9" s="3">
        <v>0.2137</v>
      </c>
      <c r="S9">
        <v>5</v>
      </c>
      <c r="T9" t="s">
        <v>59</v>
      </c>
      <c r="U9" t="s">
        <v>60</v>
      </c>
      <c r="V9" t="s">
        <v>32</v>
      </c>
      <c r="W9">
        <v>5</v>
      </c>
    </row>
    <row r="10" spans="1:24" x14ac:dyDescent="0.2">
      <c r="B10" t="s">
        <v>34</v>
      </c>
      <c r="C10" s="2">
        <v>45983</v>
      </c>
      <c r="D10" s="4">
        <v>0.36875000000000002</v>
      </c>
      <c r="E10" t="s">
        <v>35</v>
      </c>
      <c r="F10" t="s">
        <v>36</v>
      </c>
      <c r="G10" t="s">
        <v>68</v>
      </c>
      <c r="H10" t="s">
        <v>73</v>
      </c>
      <c r="I10">
        <v>6.6</v>
      </c>
      <c r="J10">
        <v>12824</v>
      </c>
      <c r="K10">
        <v>142</v>
      </c>
      <c r="L10">
        <v>110</v>
      </c>
      <c r="M10">
        <v>27</v>
      </c>
      <c r="N10">
        <v>43</v>
      </c>
      <c r="O10">
        <f>(K10+L10+M10+N10)/J10</f>
        <v>2.5109170305676855E-2</v>
      </c>
      <c r="Q10">
        <v>1</v>
      </c>
      <c r="R10" s="3">
        <v>0.2273</v>
      </c>
      <c r="S10">
        <v>5.0999999999999996</v>
      </c>
      <c r="T10" t="s">
        <v>48</v>
      </c>
      <c r="U10" t="s">
        <v>63</v>
      </c>
      <c r="V10" t="s">
        <v>64</v>
      </c>
      <c r="W10">
        <v>5</v>
      </c>
    </row>
    <row r="11" spans="1:24" x14ac:dyDescent="0.2">
      <c r="B11" t="s">
        <v>61</v>
      </c>
      <c r="C11" s="2">
        <v>45982</v>
      </c>
      <c r="D11" s="4">
        <v>0.45069444444444445</v>
      </c>
      <c r="E11" t="s">
        <v>22</v>
      </c>
      <c r="F11" t="s">
        <v>62</v>
      </c>
      <c r="G11" t="s">
        <v>68</v>
      </c>
      <c r="H11" t="s">
        <v>72</v>
      </c>
      <c r="I11">
        <v>6.5</v>
      </c>
      <c r="J11">
        <v>1218</v>
      </c>
      <c r="K11">
        <v>23</v>
      </c>
      <c r="L11">
        <v>2</v>
      </c>
      <c r="M11">
        <v>0</v>
      </c>
      <c r="N11">
        <v>2</v>
      </c>
      <c r="O11">
        <f>(K11+L11+M11+N11)/J11</f>
        <v>2.2167487684729065E-2</v>
      </c>
      <c r="Q11">
        <v>28</v>
      </c>
      <c r="R11" s="3">
        <v>9.5199999999999993E-2</v>
      </c>
      <c r="S11">
        <v>14</v>
      </c>
      <c r="T11" t="s">
        <v>27</v>
      </c>
      <c r="U11" t="s">
        <v>66</v>
      </c>
      <c r="V11" t="s">
        <v>32</v>
      </c>
      <c r="W11">
        <v>5</v>
      </c>
    </row>
  </sheetData>
  <sortState xmlns:xlrd2="http://schemas.microsoft.com/office/spreadsheetml/2017/richdata2" ref="A2:O11">
    <sortCondition descending="1" ref="O2:O1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tiktok_data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Ayodele Moses</cp:lastModifiedBy>
  <dcterms:created xsi:type="dcterms:W3CDTF">2025-11-18T07:34:09Z</dcterms:created>
  <dcterms:modified xsi:type="dcterms:W3CDTF">2025-11-29T10:49:03Z</dcterms:modified>
</cp:coreProperties>
</file>