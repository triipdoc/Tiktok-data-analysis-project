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OAYINTLIMITED/Desktop/DATA_ANALYSIS/Project/"/>
    </mc:Choice>
  </mc:AlternateContent>
  <xr:revisionPtr revIDLastSave="0" documentId="8_{1506157B-8D43-4B45-A734-D8BE7653ECE6}" xr6:coauthVersionLast="47" xr6:coauthVersionMax="47" xr10:uidLastSave="{00000000-0000-0000-0000-000000000000}"/>
  <bookViews>
    <workbookView xWindow="0" yWindow="660" windowWidth="29400" windowHeight="16860" activeTab="2" xr2:uid="{00000000-000D-0000-FFFF-FFFF00000000}"/>
  </bookViews>
  <sheets>
    <sheet name="Sheet3" sheetId="4" r:id="rId1"/>
    <sheet name="Sheet1" sheetId="5" r:id="rId2"/>
    <sheet name="tiktok_data" sheetId="1" r:id="rId3"/>
  </sheets>
  <definedNames>
    <definedName name="_xlnm._FilterDatabase" localSheetId="2" hidden="1">tiktok_data!$F$1:$F$54</definedName>
  </definedNames>
  <calcPr calcId="191029"/>
  <pivotCaches>
    <pivotCache cacheId="1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O27" i="1"/>
  <c r="O12" i="1"/>
  <c r="O11" i="1"/>
  <c r="O49" i="1"/>
  <c r="O51" i="1"/>
  <c r="O39" i="1"/>
  <c r="O47" i="1"/>
  <c r="O33" i="1"/>
  <c r="O25" i="1"/>
  <c r="O18" i="1"/>
  <c r="O21" i="1"/>
  <c r="O34" i="1"/>
  <c r="O14" i="1"/>
  <c r="O41" i="1"/>
  <c r="O29" i="1"/>
  <c r="O26" i="1"/>
  <c r="O13" i="1"/>
  <c r="O50" i="1"/>
  <c r="O46" i="1"/>
  <c r="O32" i="1"/>
  <c r="O22" i="1"/>
  <c r="O7" i="1"/>
  <c r="O40" i="1"/>
  <c r="O44" i="1"/>
  <c r="O30" i="1"/>
  <c r="O48" i="1"/>
  <c r="O45" i="1"/>
  <c r="O23" i="1"/>
  <c r="O17" i="1"/>
  <c r="O36" i="1"/>
  <c r="O28" i="1"/>
  <c r="O19" i="1"/>
  <c r="O35" i="1"/>
  <c r="O31" i="1"/>
  <c r="O43" i="1"/>
  <c r="O15" i="1"/>
  <c r="O38" i="1"/>
  <c r="O8" i="1"/>
  <c r="O5" i="1"/>
  <c r="O9" i="1"/>
  <c r="O4" i="1"/>
  <c r="O42" i="1"/>
  <c r="O24" i="1"/>
  <c r="O6" i="1"/>
  <c r="O20" i="1"/>
  <c r="O10" i="1"/>
  <c r="O3" i="1"/>
  <c r="O37" i="1"/>
  <c r="O2" i="1"/>
  <c r="O16" i="1"/>
  <c r="O54" i="1" l="1"/>
  <c r="P2" i="1" s="1"/>
  <c r="P20" i="1"/>
  <c r="P22" i="1"/>
  <c r="P15" i="1"/>
  <c r="P32" i="1"/>
  <c r="P34" i="1"/>
  <c r="P16" i="1"/>
  <c r="P48" i="1"/>
  <c r="P18" i="1"/>
  <c r="P4" i="1"/>
  <c r="P13" i="1"/>
  <c r="P19" i="1"/>
  <c r="P44" i="1"/>
  <c r="P33" i="1"/>
  <c r="P46" i="1"/>
  <c r="P36" i="1"/>
  <c r="P23" i="1"/>
  <c r="P49" i="1"/>
  <c r="P43" i="1"/>
  <c r="P11" i="1"/>
  <c r="P42" i="1"/>
  <c r="P35" i="1"/>
  <c r="P30" i="1"/>
  <c r="P25" i="1"/>
  <c r="P3" i="1"/>
  <c r="P5" i="1"/>
  <c r="P7" i="1"/>
  <c r="P40" i="1"/>
  <c r="P10" i="1"/>
  <c r="P26" i="1"/>
  <c r="P38" i="1"/>
  <c r="P8" i="1" l="1"/>
  <c r="P47" i="1"/>
  <c r="P12" i="1"/>
  <c r="P6" i="1"/>
  <c r="P9" i="1"/>
  <c r="P21" i="1"/>
  <c r="P41" i="1"/>
  <c r="P29" i="1"/>
  <c r="P50" i="1"/>
  <c r="P17" i="1"/>
  <c r="P37" i="1"/>
  <c r="P45" i="1"/>
  <c r="P51" i="1"/>
  <c r="P28" i="1"/>
  <c r="P31" i="1"/>
  <c r="P39" i="1"/>
  <c r="P27" i="1"/>
  <c r="P24" i="1"/>
  <c r="P14" i="1"/>
</calcChain>
</file>

<file path=xl/sharedStrings.xml><?xml version="1.0" encoding="utf-8"?>
<sst xmlns="http://schemas.openxmlformats.org/spreadsheetml/2006/main" count="433" uniqueCount="174">
  <si>
    <t>date_posted</t>
  </si>
  <si>
    <t>post_time_hour_24h</t>
  </si>
  <si>
    <t>day_of_week</t>
  </si>
  <si>
    <t>niche_category</t>
  </si>
  <si>
    <t>content_format</t>
  </si>
  <si>
    <t>hook_style</t>
  </si>
  <si>
    <t>video_duration_seconds</t>
  </si>
  <si>
    <t>views</t>
  </si>
  <si>
    <t>likes</t>
  </si>
  <si>
    <t>comments</t>
  </si>
  <si>
    <t>shares</t>
  </si>
  <si>
    <t>saves_or_favorites</t>
  </si>
  <si>
    <t>followers_gained</t>
  </si>
  <si>
    <t>watch_time_percentage</t>
  </si>
  <si>
    <t>avg_watch_time_seconds</t>
  </si>
  <si>
    <t>hashtag_1</t>
  </si>
  <si>
    <t>hashtag_2</t>
  </si>
  <si>
    <t>hashtag_3</t>
  </si>
  <si>
    <t>total_hashtag_count</t>
  </si>
  <si>
    <t>Volunteer Programs That Can Help Your Visa</t>
  </si>
  <si>
    <t>Friday</t>
  </si>
  <si>
    <t>visa / volunteer abroad</t>
  </si>
  <si>
    <t>volunteerabroad</t>
  </si>
  <si>
    <t>scholarshipopportinities</t>
  </si>
  <si>
    <t>visasponsorship</t>
  </si>
  <si>
    <t>Thursday</t>
  </si>
  <si>
    <t>fully funded scholarship in Germany</t>
  </si>
  <si>
    <t>germanyscholarship</t>
  </si>
  <si>
    <t>studyabroad</t>
  </si>
  <si>
    <t>creatorsearchinsight</t>
  </si>
  <si>
    <t>fully funded scholarship in germany 2026/2027</t>
  </si>
  <si>
    <t xml:space="preserve">Austrialia 5- year visa </t>
  </si>
  <si>
    <t>Saturday</t>
  </si>
  <si>
    <t>visa /workvisa</t>
  </si>
  <si>
    <t>Looking to move to Austria</t>
  </si>
  <si>
    <t>study / summer school</t>
  </si>
  <si>
    <t>studyinaustria</t>
  </si>
  <si>
    <t>austriavisa</t>
  </si>
  <si>
    <t>europecommunities</t>
  </si>
  <si>
    <t>australiaimmigration</t>
  </si>
  <si>
    <t>jobsponsorship</t>
  </si>
  <si>
    <t>australiavisa</t>
  </si>
  <si>
    <t xml:space="preserve">Australia 5 years visa requirements </t>
  </si>
  <si>
    <t>Sunday</t>
  </si>
  <si>
    <t>australia491visa</t>
  </si>
  <si>
    <t>migrationtips</t>
  </si>
  <si>
    <t>visaopportunities</t>
  </si>
  <si>
    <t>fully funded fellowship in Italy</t>
  </si>
  <si>
    <t>Monday</t>
  </si>
  <si>
    <t>conference/fellowship</t>
  </si>
  <si>
    <t>fully funded</t>
  </si>
  <si>
    <t>careerabroad</t>
  </si>
  <si>
    <t>scholarshipalert</t>
  </si>
  <si>
    <t xml:space="preserve">Austrialia 5- year visa EOI </t>
  </si>
  <si>
    <t>australia5yearvisa</t>
  </si>
  <si>
    <t>Paid Internship</t>
  </si>
  <si>
    <t>stem</t>
  </si>
  <si>
    <t>paidintership</t>
  </si>
  <si>
    <t>top reason visa got rejected</t>
  </si>
  <si>
    <t>visa</t>
  </si>
  <si>
    <t>europejobs</t>
  </si>
  <si>
    <t>visarejection</t>
  </si>
  <si>
    <t>Canada visa sponsorship</t>
  </si>
  <si>
    <t>canadajobs</t>
  </si>
  <si>
    <t>text_overlay</t>
  </si>
  <si>
    <t>voiceover</t>
  </si>
  <si>
    <t>screen_recording</t>
  </si>
  <si>
    <t>engagement_rate</t>
  </si>
  <si>
    <t>Row Labels</t>
  </si>
  <si>
    <t>Grand Total</t>
  </si>
  <si>
    <t>Canada 2026 opportunity is officially OPEN</t>
  </si>
  <si>
    <t>Conference/fellowship</t>
  </si>
  <si>
    <t>traveltocanada</t>
  </si>
  <si>
    <t>fullyfunded</t>
  </si>
  <si>
    <t xml:space="preserve">Travel to Australia </t>
  </si>
  <si>
    <t>traveltoaustralia</t>
  </si>
  <si>
    <t>Denmark student visa</t>
  </si>
  <si>
    <t>denmarkstudentvisa</t>
  </si>
  <si>
    <t>Australian nursing</t>
  </si>
  <si>
    <t>sponsorship</t>
  </si>
  <si>
    <t>nurse</t>
  </si>
  <si>
    <t>canada conference</t>
  </si>
  <si>
    <t>visa support</t>
  </si>
  <si>
    <t>official update</t>
  </si>
  <si>
    <t>Research Internship</t>
  </si>
  <si>
    <t>Wednesday</t>
  </si>
  <si>
    <t>summer program</t>
  </si>
  <si>
    <t>researchinternship</t>
  </si>
  <si>
    <t>Jobs abroad</t>
  </si>
  <si>
    <t>Tuesday</t>
  </si>
  <si>
    <t>careeropportunity</t>
  </si>
  <si>
    <t>corporatejourney</t>
  </si>
  <si>
    <t>internshiplife</t>
  </si>
  <si>
    <t>Internship</t>
  </si>
  <si>
    <t>canada</t>
  </si>
  <si>
    <t>canada_life</t>
  </si>
  <si>
    <t>tiktok_live</t>
  </si>
  <si>
    <t>Work abroad program</t>
  </si>
  <si>
    <t>workpermit</t>
  </si>
  <si>
    <t>workabroad</t>
  </si>
  <si>
    <t>convention</t>
  </si>
  <si>
    <t>belgium</t>
  </si>
  <si>
    <t>wlc2026</t>
  </si>
  <si>
    <t>Trave to Japan</t>
  </si>
  <si>
    <t>japanfellowship</t>
  </si>
  <si>
    <t>Canadaopportunity</t>
  </si>
  <si>
    <t>Tiktoklive</t>
  </si>
  <si>
    <t>canada2026</t>
  </si>
  <si>
    <t xml:space="preserve">Germany visa </t>
  </si>
  <si>
    <t>movetogermany</t>
  </si>
  <si>
    <t>visaguide</t>
  </si>
  <si>
    <t>Sponsor Approval</t>
  </si>
  <si>
    <t>workandtrave</t>
  </si>
  <si>
    <t>secondjob</t>
  </si>
  <si>
    <t>Study in Germany for free</t>
  </si>
  <si>
    <t>Budapest volunteer</t>
  </si>
  <si>
    <t>volunteer</t>
  </si>
  <si>
    <t>socialgood</t>
  </si>
  <si>
    <t>fully funded volunteer Hungary</t>
  </si>
  <si>
    <t>communitysupport</t>
  </si>
  <si>
    <t>how to use uni-assist</t>
  </si>
  <si>
    <t>uniassist</t>
  </si>
  <si>
    <t>studyingermany</t>
  </si>
  <si>
    <t>Visa Advice</t>
  </si>
  <si>
    <t>yorubatiktok</t>
  </si>
  <si>
    <t>nigeria</t>
  </si>
  <si>
    <t>netherlands admission</t>
  </si>
  <si>
    <t>visaexpert</t>
  </si>
  <si>
    <t>MBA Scholarship</t>
  </si>
  <si>
    <t>workvisa</t>
  </si>
  <si>
    <t>how to apply for Czech study visa</t>
  </si>
  <si>
    <t>studentvisa</t>
  </si>
  <si>
    <t>france conference</t>
  </si>
  <si>
    <t>expertlife</t>
  </si>
  <si>
    <t>livinginfrance</t>
  </si>
  <si>
    <t>summer school scholarship</t>
  </si>
  <si>
    <t>studytips</t>
  </si>
  <si>
    <t xml:space="preserve">list of summer research </t>
  </si>
  <si>
    <t>study visa and opportunity card</t>
  </si>
  <si>
    <t>opportunitycard</t>
  </si>
  <si>
    <t>NL Scholarships</t>
  </si>
  <si>
    <t>nlscholarship</t>
  </si>
  <si>
    <t>studyinnetherlands</t>
  </si>
  <si>
    <t>scholarship2026</t>
  </si>
  <si>
    <t>most student study blindly</t>
  </si>
  <si>
    <t>schooltalk</t>
  </si>
  <si>
    <t>ielts</t>
  </si>
  <si>
    <t>HZDR Germany</t>
  </si>
  <si>
    <t>researchopportunities</t>
  </si>
  <si>
    <t>HZDR</t>
  </si>
  <si>
    <t>fully funded research program</t>
  </si>
  <si>
    <t>eui2026</t>
  </si>
  <si>
    <t>phdabroad</t>
  </si>
  <si>
    <t>europe work secret</t>
  </si>
  <si>
    <t>europejob</t>
  </si>
  <si>
    <t>fully funded trip to japan</t>
  </si>
  <si>
    <t>working visa requirment</t>
  </si>
  <si>
    <t>full scholarship to study artificail</t>
  </si>
  <si>
    <t>emai</t>
  </si>
  <si>
    <t>studyineurope</t>
  </si>
  <si>
    <t>netherlands study visa</t>
  </si>
  <si>
    <t>netherlands</t>
  </si>
  <si>
    <t>canada visa advice</t>
  </si>
  <si>
    <t>visatips</t>
  </si>
  <si>
    <t>canadavisa</t>
  </si>
  <si>
    <t>study abroad caption</t>
  </si>
  <si>
    <t>performance_label</t>
  </si>
  <si>
    <t>short_description</t>
  </si>
  <si>
    <t>Average Engagement Rate</t>
  </si>
  <si>
    <t>Fomo</t>
  </si>
  <si>
    <t>Value</t>
  </si>
  <si>
    <t>Question</t>
  </si>
  <si>
    <t>Tutorial</t>
  </si>
  <si>
    <t>content_format_clean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</si>
</sst>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0" fontId="0" fillId="0" borderId="0" xfId="0" applyNumberFormat="1"/>
    <xf numFmtId="20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8" fontId="0" fillId="0" borderId="0" xfId="0" applyNumberFormat="1"/>
    <xf numFmtId="0" fontId="2" fillId="0" borderId="0" xfId="0" applyFont="1"/>
    <xf numFmtId="21" fontId="0" fillId="0" borderId="0" xfId="0" applyNumberFormat="1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[tiktok_data_Project.xlsx]Sheet3!PivotTable2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Average Engagement Rate by Hook Style (n = 50)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Sheet3!$A$2:$A$6</c:f>
              <c:strCache>
                <c:ptCount val="4"/>
                <c:pt idx="0">
                  <c:v>Fomo</c:v>
                </c:pt>
                <c:pt idx="1">
                  <c:v>Question</c:v>
                </c:pt>
                <c:pt idx="2">
                  <c:v>Tutorial</c:v>
                </c:pt>
                <c:pt idx="3">
                  <c:v>Value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4"/>
                <c:pt idx="0">
                  <c:v>5.3713810280615275E-2</c:v>
                </c:pt>
                <c:pt idx="1">
                  <c:v>4.3150709992493264E-2</c:v>
                </c:pt>
                <c:pt idx="2">
                  <c:v>6.3211973343046124E-2</c:v>
                </c:pt>
                <c:pt idx="3">
                  <c:v>3.6627455068728484E-2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A-8340-AD27-04865B4F2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425664"/>
        <c:axId val="638429248"/>
      </c:barChart>
      <c:catAx>
        <c:axId val="63842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29248"/>
        <c:crosses val="autoZero"/>
        <c:auto val="1"/>
        <c:lblAlgn val="ctr"/>
        <c:lblOffset val="100"/>
        <c:noMultiLvlLbl val="0"/>
      </c:catAx>
      <c:valAx>
        <c:axId val="63842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2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[tiktok_data_Project.xlsx]Sheet1!PivotTable7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Average Engagement Rate by Content Format (n = 50)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3"/>
                <c:pt idx="0">
                  <c:v>screen_recording</c:v>
                </c:pt>
                <c:pt idx="1">
                  <c:v>text_overlay</c:v>
                </c:pt>
                <c:pt idx="2">
                  <c:v>voiceover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3"/>
                <c:pt idx="0">
                  <c:v>6.1187580490764337E-2</c:v>
                </c:pt>
                <c:pt idx="1">
                  <c:v>3.2498143279277504E-2</c:v>
                </c:pt>
                <c:pt idx="2">
                  <c:v>4.5489528928400594E-2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6-F245-80C9-5E1A5AA1A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424384"/>
        <c:axId val="641418112"/>
      </c:barChart>
      <c:catAx>
        <c:axId val="64142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18112"/>
        <c:crosses val="autoZero"/>
        <c:auto val="1"/>
        <c:lblAlgn val="ctr"/>
        <c:lblOffset val="100"/>
        <c:noMultiLvlLbl val="0"/>
      </c:catAx>
      <c:valAx>
        <c:axId val="6414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2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Engagement Rate Across TikTok Videos (n = 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tiktok_data!$O$1</c:f>
              <c:strCache>
                <c:ptCount val="1"/>
                <c:pt idx="0">
                  <c:v>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tiktok_data!$A$2:$A$51</c:f>
              <c:strCache>
                <c:ptCount val="50"/>
                <c:pt idx="0">
                  <c:v>fully funded scholarship in germany 2026/2027</c:v>
                </c:pt>
                <c:pt idx="1">
                  <c:v>Looking to move to Austria</c:v>
                </c:pt>
                <c:pt idx="2">
                  <c:v>Canada visa sponsorship</c:v>
                </c:pt>
                <c:pt idx="3">
                  <c:v>Travel to Australia </c:v>
                </c:pt>
                <c:pt idx="4">
                  <c:v>Austrialia 5- year visa EOI </c:v>
                </c:pt>
                <c:pt idx="5">
                  <c:v>fully funded volunteer Hungary</c:v>
                </c:pt>
                <c:pt idx="6">
                  <c:v>Denmark student visa</c:v>
                </c:pt>
                <c:pt idx="7">
                  <c:v>Canada 2026 opportunity is officially OPEN</c:v>
                </c:pt>
                <c:pt idx="8">
                  <c:v>Australia 5 years visa requirements </c:v>
                </c:pt>
                <c:pt idx="9">
                  <c:v>netherlands study visa</c:v>
                </c:pt>
                <c:pt idx="10">
                  <c:v>canada visa advice</c:v>
                </c:pt>
                <c:pt idx="11">
                  <c:v>Visa Advice</c:v>
                </c:pt>
                <c:pt idx="12">
                  <c:v>list of summer research </c:v>
                </c:pt>
                <c:pt idx="13">
                  <c:v>canada conference</c:v>
                </c:pt>
                <c:pt idx="14">
                  <c:v>Volunteer Programs That Can Help Your Visa</c:v>
                </c:pt>
                <c:pt idx="15">
                  <c:v>Trave to Japan</c:v>
                </c:pt>
                <c:pt idx="16">
                  <c:v>most student study blindly</c:v>
                </c:pt>
                <c:pt idx="17">
                  <c:v>canada conference</c:v>
                </c:pt>
                <c:pt idx="18">
                  <c:v>fully funded fellowship in Italy</c:v>
                </c:pt>
                <c:pt idx="19">
                  <c:v>NL Scholarships</c:v>
                </c:pt>
                <c:pt idx="20">
                  <c:v>how to use uni-assist</c:v>
                </c:pt>
                <c:pt idx="21">
                  <c:v>canada conference</c:v>
                </c:pt>
                <c:pt idx="22">
                  <c:v>Paid Internship</c:v>
                </c:pt>
                <c:pt idx="23">
                  <c:v>HZDR Germany</c:v>
                </c:pt>
                <c:pt idx="24">
                  <c:v>how to apply for Czech study visa</c:v>
                </c:pt>
                <c:pt idx="25">
                  <c:v>study abroad caption</c:v>
                </c:pt>
                <c:pt idx="26">
                  <c:v>Work abroad program</c:v>
                </c:pt>
                <c:pt idx="27">
                  <c:v>france conference</c:v>
                </c:pt>
                <c:pt idx="28">
                  <c:v>Study in Germany for free</c:v>
                </c:pt>
                <c:pt idx="29">
                  <c:v>Jobs abroad</c:v>
                </c:pt>
                <c:pt idx="30">
                  <c:v>Visa Advice</c:v>
                </c:pt>
                <c:pt idx="31">
                  <c:v>fully funded research program</c:v>
                </c:pt>
                <c:pt idx="32">
                  <c:v>study visa and opportunity card</c:v>
                </c:pt>
                <c:pt idx="33">
                  <c:v>Internship</c:v>
                </c:pt>
                <c:pt idx="34">
                  <c:v>convention</c:v>
                </c:pt>
                <c:pt idx="35">
                  <c:v>Austrialia 5- year visa </c:v>
                </c:pt>
                <c:pt idx="36">
                  <c:v>Australian nursing</c:v>
                </c:pt>
                <c:pt idx="37">
                  <c:v>fully funded trip to japan</c:v>
                </c:pt>
                <c:pt idx="38">
                  <c:v>Budapest volunteer</c:v>
                </c:pt>
                <c:pt idx="39">
                  <c:v>summer school scholarship</c:v>
                </c:pt>
                <c:pt idx="40">
                  <c:v>top reason visa got rejected</c:v>
                </c:pt>
                <c:pt idx="41">
                  <c:v>Research Internship</c:v>
                </c:pt>
                <c:pt idx="42">
                  <c:v>Study in Germany for free</c:v>
                </c:pt>
                <c:pt idx="43">
                  <c:v>Germany visa </c:v>
                </c:pt>
                <c:pt idx="44">
                  <c:v>netherlands admission</c:v>
                </c:pt>
                <c:pt idx="45">
                  <c:v>europe work secret</c:v>
                </c:pt>
                <c:pt idx="46">
                  <c:v>Sponsor Approval</c:v>
                </c:pt>
                <c:pt idx="47">
                  <c:v>full scholarship to study artificail</c:v>
                </c:pt>
                <c:pt idx="48">
                  <c:v>MBA Scholarship</c:v>
                </c:pt>
                <c:pt idx="49">
                  <c:v>working visa requirment</c:v>
                </c:pt>
              </c:strCache>
            </c:strRef>
          </c:cat>
          <c:val>
            <c:numRef>
              <c:f>tiktok_data!$O$2:$O$51</c:f>
              <c:numCache>
                <c:formatCode>General</c:formatCode>
                <c:ptCount val="50"/>
                <c:pt idx="0">
                  <c:v>8.9023336214347451E-2</c:v>
                </c:pt>
                <c:pt idx="1">
                  <c:v>8.5907814306955224E-2</c:v>
                </c:pt>
                <c:pt idx="2">
                  <c:v>7.7744807121661721E-2</c:v>
                </c:pt>
                <c:pt idx="3">
                  <c:v>7.7644894204231832E-2</c:v>
                </c:pt>
                <c:pt idx="4">
                  <c:v>7.4103271580607019E-2</c:v>
                </c:pt>
                <c:pt idx="5">
                  <c:v>6.9352708058124171E-2</c:v>
                </c:pt>
                <c:pt idx="6">
                  <c:v>6.8530207394048692E-2</c:v>
                </c:pt>
                <c:pt idx="7">
                  <c:v>6.6779516189219443E-2</c:v>
                </c:pt>
                <c:pt idx="8">
                  <c:v>6.4566655064392617E-2</c:v>
                </c:pt>
                <c:pt idx="9">
                  <c:v>6.3400576368876083E-2</c:v>
                </c:pt>
                <c:pt idx="10">
                  <c:v>6.2695924764890276E-2</c:v>
                </c:pt>
                <c:pt idx="11">
                  <c:v>0.06</c:v>
                </c:pt>
                <c:pt idx="12">
                  <c:v>5.8935361216730035E-2</c:v>
                </c:pt>
                <c:pt idx="13">
                  <c:v>5.7116104868913858E-2</c:v>
                </c:pt>
                <c:pt idx="14">
                  <c:v>5.5298840996894173E-2</c:v>
                </c:pt>
                <c:pt idx="15">
                  <c:v>5.4648241206030151E-2</c:v>
                </c:pt>
                <c:pt idx="16">
                  <c:v>5.4545454545454543E-2</c:v>
                </c:pt>
                <c:pt idx="17">
                  <c:v>5.2816901408450703E-2</c:v>
                </c:pt>
                <c:pt idx="18">
                  <c:v>5.2320675105485229E-2</c:v>
                </c:pt>
                <c:pt idx="19">
                  <c:v>4.9382716049382713E-2</c:v>
                </c:pt>
                <c:pt idx="20">
                  <c:v>4.8271889400921662E-2</c:v>
                </c:pt>
                <c:pt idx="21">
                  <c:v>4.3915521287294673E-2</c:v>
                </c:pt>
                <c:pt idx="22">
                  <c:v>4.1822255414488425E-2</c:v>
                </c:pt>
                <c:pt idx="23">
                  <c:v>4.0991420400381312E-2</c:v>
                </c:pt>
                <c:pt idx="24">
                  <c:v>4.07725321888412E-2</c:v>
                </c:pt>
                <c:pt idx="25">
                  <c:v>3.9647577092511016E-2</c:v>
                </c:pt>
                <c:pt idx="26">
                  <c:v>3.8947368421052633E-2</c:v>
                </c:pt>
                <c:pt idx="27">
                  <c:v>3.4428794992175271E-2</c:v>
                </c:pt>
                <c:pt idx="28">
                  <c:v>3.2805429864253395E-2</c:v>
                </c:pt>
                <c:pt idx="29">
                  <c:v>3.2490974729241874E-2</c:v>
                </c:pt>
                <c:pt idx="30">
                  <c:v>3.074866310160428E-2</c:v>
                </c:pt>
                <c:pt idx="31">
                  <c:v>3.039288361749444E-2</c:v>
                </c:pt>
                <c:pt idx="32">
                  <c:v>3.0120481927710843E-2</c:v>
                </c:pt>
                <c:pt idx="33">
                  <c:v>2.8985507246376812E-2</c:v>
                </c:pt>
                <c:pt idx="34">
                  <c:v>2.6236125126135216E-2</c:v>
                </c:pt>
                <c:pt idx="35">
                  <c:v>2.5109170305676855E-2</c:v>
                </c:pt>
                <c:pt idx="36">
                  <c:v>2.3663253697383389E-2</c:v>
                </c:pt>
                <c:pt idx="37">
                  <c:v>2.3529411764705882E-2</c:v>
                </c:pt>
                <c:pt idx="38">
                  <c:v>2.3430178069353328E-2</c:v>
                </c:pt>
                <c:pt idx="39">
                  <c:v>2.2263450834879406E-2</c:v>
                </c:pt>
                <c:pt idx="40">
                  <c:v>2.2167487684729065E-2</c:v>
                </c:pt>
                <c:pt idx="41">
                  <c:v>2.1621621621621623E-2</c:v>
                </c:pt>
                <c:pt idx="42">
                  <c:v>1.9148936170212766E-2</c:v>
                </c:pt>
                <c:pt idx="43">
                  <c:v>1.8549747048903879E-2</c:v>
                </c:pt>
                <c:pt idx="44">
                  <c:v>1.6290726817042606E-2</c:v>
                </c:pt>
                <c:pt idx="45">
                  <c:v>1.6286644951140065E-2</c:v>
                </c:pt>
                <c:pt idx="46">
                  <c:v>1.2853470437017995E-2</c:v>
                </c:pt>
                <c:pt idx="47">
                  <c:v>1.2345679012345678E-2</c:v>
                </c:pt>
                <c:pt idx="48">
                  <c:v>1.1940298507462687E-2</c:v>
                </c:pt>
                <c:pt idx="49">
                  <c:v>6.41025641025641E-3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E-C949-A83B-5426EC30E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1430208"/>
        <c:axId val="637218176"/>
      </c:barChart>
      <c:catAx>
        <c:axId val="64143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18176"/>
        <c:crosses val="autoZero"/>
        <c:auto val="1"/>
        <c:lblAlgn val="ctr"/>
        <c:lblOffset val="100"/>
        <c:noMultiLvlLbl val="0"/>
      </c:catAx>
      <c:valAx>
        <c:axId val="63721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3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1231900</xdr:colOff>
      <xdr:row>1</xdr:row>
      <xdr:rowOff>0</xdr:rowOff>
    </xdr:from>
    <xdr:to>
      <xdr:col>13</xdr:col>
      <xdr:colOff>457200</xdr:colOff>
      <xdr:row>35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69E5E-422E-0CD3-F9D7-E584EBF91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127000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BB754-9CE8-2AA7-73B3-6BD256215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596348</xdr:colOff>
      <xdr:row>55</xdr:row>
      <xdr:rowOff>158749</xdr:rowOff>
    </xdr:from>
    <xdr:to>
      <xdr:col>19</xdr:col>
      <xdr:colOff>228600</xdr:colOff>
      <xdr:row>115</xdr:row>
      <xdr:rowOff>121478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383E8E-0234-B623-80D0-08E070B54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OAY INT LIMITED" refreshedDate="46042.937586458334" createdVersion="8" refreshedVersion="8" minRefreshableVersion="3" recordCount="50" xr:uid="{B9A2983B-28C0-7343-8827-F4765DF9CC44}">
  <cacheSource type="worksheet">
    <worksheetSource ref="A1:W51" sheet="tiktok_data"/>
  </cacheSource>
  <cacheFields count="23">
    <cacheField name="short_description" numFmtId="0">
      <sharedItems/>
    </cacheField>
    <cacheField name="date_posted" numFmtId="0">
      <sharedItems containsSemiMixedTypes="0" containsNonDate="0" containsDate="1" containsString="0" minDate="2006-01-17T00:00:00" maxDate="2026-01-20T00:00:00"/>
    </cacheField>
    <cacheField name="post_time_hour_24h" numFmtId="0">
      <sharedItems containsSemiMixedTypes="0" containsNonDate="0" containsDate="1" containsString="0" minDate="1899-12-30T07:27:00" maxDate="1899-12-30T22:42:00"/>
    </cacheField>
    <cacheField name="day_of_week" numFmtId="0">
      <sharedItems/>
    </cacheField>
    <cacheField name="niche_category" numFmtId="0">
      <sharedItems/>
    </cacheField>
    <cacheField name="content_format" numFmtId="0">
      <sharedItems/>
    </cacheField>
    <cacheField name="content_format_clean" numFmtId="0">
      <sharedItems count="3">
        <s v="voiceover"/>
        <s v="screen_recording"/>
        <s v="text_overlay"/>
      </sharedItems>
    </cacheField>
    <cacheField name="hook_style" numFmtId="0">
      <sharedItems count="4">
        <s v="Fomo"/>
        <s v="Question"/>
        <s v="Tutorial"/>
        <s v="Value"/>
      </sharedItems>
    </cacheField>
    <cacheField name="video_duration_seconds" numFmtId="0">
      <sharedItems containsSemiMixedTypes="0" containsDate="1" containsString="0" containsMixedTypes="1" minDate="1900-01-03T20:06:04" maxDate="1899-12-30T00:00:00"/>
    </cacheField>
    <cacheField name="views" numFmtId="0">
      <sharedItems containsSemiMixedTypes="0" containsString="0" containsNumber="1" containsInteger="1" minValue="50" maxValue="184907"/>
    </cacheField>
    <cacheField name="likes" numFmtId="0">
      <sharedItems containsSemiMixedTypes="0" containsString="0" containsNumber="1" containsInteger="1" minValue="1" maxValue="6220"/>
    </cacheField>
    <cacheField name="comments" numFmtId="0">
      <sharedItems containsSemiMixedTypes="0" containsString="0" containsNumber="1" containsInteger="1" minValue="0" maxValue="1989"/>
    </cacheField>
    <cacheField name="shares" numFmtId="0">
      <sharedItems containsSemiMixedTypes="0" containsString="0" containsNumber="1" containsInteger="1" minValue="0" maxValue="2196"/>
    </cacheField>
    <cacheField name="saves_or_favorites" numFmtId="0">
      <sharedItems containsSemiMixedTypes="0" containsString="0" containsNumber="1" containsInteger="1" minValue="0" maxValue="1943"/>
    </cacheField>
    <cacheField name="engagement_rate" numFmtId="0">
      <sharedItems containsSemiMixedTypes="0" containsString="0" containsNumber="1" minValue="6.41025641025641E-3" maxValue="8.9023336214347451E-2"/>
    </cacheField>
    <cacheField name="performance_label" numFmtId="0">
      <sharedItems/>
    </cacheField>
    <cacheField name="followers_gained" numFmtId="0">
      <sharedItems containsSemiMixedTypes="0" containsString="0" containsNumber="1" containsInteger="1" minValue="0" maxValue="2648"/>
    </cacheField>
    <cacheField name="watch_time_percentage" numFmtId="10">
      <sharedItems containsSemiMixedTypes="0" containsString="0" containsNumber="1" minValue="9.9000000000000008E-3" maxValue="0.63159999999999994"/>
    </cacheField>
    <cacheField name="avg_watch_time_seconds" numFmtId="0">
      <sharedItems containsSemiMixedTypes="0" containsString="0" containsNumber="1" minValue="3" maxValue="14.6"/>
    </cacheField>
    <cacheField name="hashtag_1" numFmtId="0">
      <sharedItems/>
    </cacheField>
    <cacheField name="hashtag_2" numFmtId="0">
      <sharedItems containsBlank="1"/>
    </cacheField>
    <cacheField name="hashtag_3" numFmtId="0">
      <sharedItems containsBlank="1"/>
    </cacheField>
    <cacheField name="total_hashtag_count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fully funded scholarship in germany 2026/2027"/>
    <d v="2025-11-20T00:00:00"/>
    <d v="1899-12-30T19:31:00"/>
    <s v="Thursday"/>
    <s v="fully funded scholarship in Germany"/>
    <s v="voiceover"/>
    <x v="0"/>
    <x v="0"/>
    <n v="53.92"/>
    <n v="21983"/>
    <n v="968"/>
    <n v="269"/>
    <n v="231"/>
    <n v="489"/>
    <n v="8.9023336214347451E-2"/>
    <s v="High"/>
    <n v="290"/>
    <n v="0.28129999999999999"/>
    <n v="6.4"/>
    <s v="volunteerabroad"/>
    <s v="scholarshipopportinities"/>
    <s v="visasponsorship"/>
    <n v="5"/>
  </r>
  <r>
    <s v="Looking to move to Austria"/>
    <d v="2025-11-22T00:00:00"/>
    <d v="1899-12-30T19:30:00"/>
    <s v="Saturday"/>
    <s v="study / summer school"/>
    <s v="voiceover"/>
    <x v="0"/>
    <x v="0"/>
    <n v="41.4"/>
    <n v="12106"/>
    <n v="500"/>
    <n v="261"/>
    <n v="106"/>
    <n v="173"/>
    <n v="8.5907814306955224E-2"/>
    <s v="High"/>
    <n v="288"/>
    <n v="6.1499999999999999E-2"/>
    <n v="11.9"/>
    <s v="germanyscholarship"/>
    <s v="studyabroad"/>
    <s v="creatorsearchinsight"/>
    <n v="5"/>
  </r>
  <r>
    <s v="Canada visa sponsorship"/>
    <d v="2025-11-21T00:00:00"/>
    <d v="1899-12-30T10:50:00"/>
    <s v="Friday"/>
    <s v="visa /workvisa"/>
    <s v="voiceover"/>
    <x v="0"/>
    <x v="1"/>
    <n v="52.5"/>
    <n v="1685"/>
    <n v="51"/>
    <n v="41"/>
    <n v="15"/>
    <n v="24"/>
    <n v="7.7744807121661721E-2"/>
    <s v="High"/>
    <n v="73"/>
    <n v="0.33989999999999998"/>
    <n v="5.8"/>
    <s v="australiavisa"/>
    <s v="jobsponsorship"/>
    <s v="australiaimmigration"/>
    <n v="5"/>
  </r>
  <r>
    <s v="Travel to Australia "/>
    <d v="2026-01-03T00:00:00"/>
    <d v="1899-12-30T10:10:00"/>
    <s v="Saturday"/>
    <s v="conference/fellowship"/>
    <s v="voiceover"/>
    <x v="0"/>
    <x v="1"/>
    <n v="36.9"/>
    <n v="5435"/>
    <n v="186"/>
    <n v="133"/>
    <n v="51"/>
    <n v="52"/>
    <n v="7.7644894204231832E-2"/>
    <s v="High"/>
    <n v="79"/>
    <n v="9.5199999999999993E-2"/>
    <n v="12"/>
    <s v="traveltoaustralia"/>
    <s v="visaopportunities"/>
    <s v="creatorsearchinsight"/>
    <n v="5"/>
  </r>
  <r>
    <s v="Austrialia 5- year visa EOI "/>
    <d v="2025-11-24T00:00:00"/>
    <d v="1899-12-30T19:59:00"/>
    <s v="Monday"/>
    <s v="visa /workvisa"/>
    <s v="screen_recording"/>
    <x v="1"/>
    <x v="2"/>
    <n v="46.11"/>
    <n v="2537"/>
    <n v="95"/>
    <n v="9"/>
    <n v="29"/>
    <n v="55"/>
    <n v="7.4103271580607019E-2"/>
    <s v="High"/>
    <n v="242"/>
    <n v="0.1147"/>
    <n v="14.1"/>
    <s v="studyinaustria"/>
    <s v="austriavisa"/>
    <s v="europecommunities"/>
    <n v="5"/>
  </r>
  <r>
    <s v="fully funded volunteer Hungary"/>
    <d v="2026-01-11T00:00:00"/>
    <d v="1899-12-30T16:06:00"/>
    <s v="Sunday"/>
    <s v="visa / volunteer abroad"/>
    <s v="voiceover"/>
    <x v="0"/>
    <x v="1"/>
    <n v="37.299999999999997"/>
    <n v="1514"/>
    <n v="52"/>
    <n v="24"/>
    <n v="13"/>
    <n v="16"/>
    <n v="6.9352708058124171E-2"/>
    <s v="High"/>
    <n v="6"/>
    <n v="6.6600000000000006E-2"/>
    <n v="9.6"/>
    <s v="creatorsearchinsight"/>
    <s v="volunteer"/>
    <s v="communitysupport"/>
    <n v="4"/>
  </r>
  <r>
    <s v="Denmark student visa"/>
    <d v="2026-01-04T00:00:00"/>
    <d v="1899-12-30T19:58:00"/>
    <s v="Sunday"/>
    <s v="visa"/>
    <s v="voiceover"/>
    <x v="0"/>
    <x v="1"/>
    <n v="36.22"/>
    <n v="8872"/>
    <n v="343"/>
    <n v="164"/>
    <n v="31"/>
    <n v="70"/>
    <n v="6.8530207394048692E-2"/>
    <s v="High"/>
    <n v="135"/>
    <n v="0.1273"/>
    <n v="14.6"/>
    <s v="creatorsearchinsight"/>
    <s v="studyabroad"/>
    <s v="denmarkstudentvisa"/>
    <n v="5"/>
  </r>
  <r>
    <s v="Canada 2026 opportunity is officially OPEN"/>
    <d v="2025-12-13T00:00:00"/>
    <d v="1899-12-30T12:30:00"/>
    <s v="Saturday"/>
    <s v="conference/fellowship"/>
    <s v="voiceover"/>
    <x v="0"/>
    <x v="1"/>
    <n v="37.200000000000003"/>
    <n v="184907"/>
    <n v="6220"/>
    <n v="1989"/>
    <n v="2196"/>
    <n v="1943"/>
    <n v="6.6779516189219443E-2"/>
    <s v="High"/>
    <n v="2648"/>
    <n v="6.7099999999999993E-2"/>
    <n v="11.6"/>
    <s v="creatorsearchinsight"/>
    <s v="traveltocanada"/>
    <s v="fullyfunded"/>
    <n v="5"/>
  </r>
  <r>
    <s v="Australia 5 years visa requirements "/>
    <d v="2025-11-23T00:00:00"/>
    <d v="1899-12-30T21:32:00"/>
    <s v="Sunday"/>
    <s v="visa /workvisa"/>
    <s v="voiceover"/>
    <x v="0"/>
    <x v="0"/>
    <n v="43.8"/>
    <n v="5746"/>
    <n v="200"/>
    <n v="59"/>
    <n v="25"/>
    <n v="87"/>
    <n v="6.4566655064392617E-2"/>
    <s v="High"/>
    <n v="79"/>
    <n v="6.9099999999999995E-2"/>
    <n v="11.7"/>
    <s v="australia491visa"/>
    <s v="migrationtips"/>
    <s v="visaopportunities"/>
    <n v="5"/>
  </r>
  <r>
    <s v="netherlands study visa"/>
    <d v="2026-01-17T00:00:00"/>
    <d v="1899-12-30T11:39:00"/>
    <s v="Saturday"/>
    <s v="visa"/>
    <s v="voiceover"/>
    <x v="0"/>
    <x v="3"/>
    <n v="39.07"/>
    <n v="347"/>
    <n v="17"/>
    <n v="3"/>
    <n v="2"/>
    <n v="0"/>
    <n v="6.3400576368876083E-2"/>
    <s v="High"/>
    <n v="1"/>
    <n v="6.0400000000000002E-2"/>
    <n v="7.3"/>
    <s v="creatorsearchinsight"/>
    <s v="studyabroad"/>
    <s v="netherlands"/>
    <n v="3"/>
  </r>
  <r>
    <s v="canada visa advice"/>
    <d v="2006-01-17T00:00:00"/>
    <d v="1899-12-30T16:16:00"/>
    <s v="Saturday"/>
    <s v="visa / volunteer abroad"/>
    <s v="voiceover"/>
    <x v="0"/>
    <x v="3"/>
    <n v="57.61"/>
    <n v="319"/>
    <n v="14"/>
    <n v="4"/>
    <n v="2"/>
    <n v="0"/>
    <n v="6.2695924764890276E-2"/>
    <s v="High"/>
    <n v="1"/>
    <n v="4.6199999999999998E-2"/>
    <n v="9.6999999999999993"/>
    <s v="creatorsearchinsight"/>
    <s v="visatips"/>
    <s v="canadavisa"/>
    <n v="3"/>
  </r>
  <r>
    <s v="Visa Advice"/>
    <d v="2026-01-14T00:00:00"/>
    <d v="1899-12-30T07:41:00"/>
    <s v="Wednesday"/>
    <s v="visa /workvisa"/>
    <s v="text_overlay"/>
    <x v="2"/>
    <x v="3"/>
    <n v="2.67"/>
    <n v="50"/>
    <n v="2"/>
    <n v="0"/>
    <n v="1"/>
    <n v="0"/>
    <n v="0.06"/>
    <s v="High"/>
    <n v="0"/>
    <n v="0.63159999999999994"/>
    <n v="4.2"/>
    <s v="creatorsearchinsight"/>
    <s v="workvisa"/>
    <s v="visasponsorship"/>
    <n v="3"/>
  </r>
  <r>
    <s v="list of summer research "/>
    <d v="2026-01-09T00:00:00"/>
    <d v="1899-12-30T07:48:00"/>
    <s v="Friday"/>
    <s v="study / summer school"/>
    <s v="voiceover"/>
    <x v="0"/>
    <x v="3"/>
    <n v="22.23"/>
    <n v="526"/>
    <n v="26"/>
    <n v="0"/>
    <n v="3"/>
    <n v="2"/>
    <n v="5.8935361216730035E-2"/>
    <s v="High"/>
    <n v="0"/>
    <n v="4.5999999999999999E-2"/>
    <n v="4.2"/>
    <s v="creatorsearchinsight"/>
    <s v="studyabroad"/>
    <s v="scholarshipalert"/>
    <n v="3"/>
  </r>
  <r>
    <s v="canada conference"/>
    <d v="2026-01-04T00:00:00"/>
    <d v="1899-12-30T21:50:00"/>
    <s v="Sunday"/>
    <s v="conference/fellowship"/>
    <s v="voiceover"/>
    <x v="0"/>
    <x v="1"/>
    <n v="35.229999999999997"/>
    <n v="1068"/>
    <n v="42"/>
    <n v="3"/>
    <n v="6"/>
    <n v="10"/>
    <n v="5.7116104868913858E-2"/>
    <s v="High"/>
    <n v="3"/>
    <n v="9.4799999999999995E-2"/>
    <n v="10.199999999999999"/>
    <s v="creatorsearchinsight"/>
    <s v="visa support"/>
    <s v="official update"/>
    <n v="5"/>
  </r>
  <r>
    <s v="Volunteer Programs That Can Help Your Visa"/>
    <d v="2025-11-21T00:00:00"/>
    <d v="1899-12-30T18:06:00"/>
    <s v="Friday"/>
    <s v="visa / volunteer abroad"/>
    <s v="text_overlay"/>
    <x v="2"/>
    <x v="3"/>
    <n v="8.8699999999999992"/>
    <n v="26402"/>
    <n v="627"/>
    <n v="284"/>
    <n v="192"/>
    <n v="357"/>
    <n v="5.5298840996894173E-2"/>
    <s v="High"/>
    <n v="15"/>
    <n v="0.2046"/>
    <n v="5"/>
    <s v="fully funded"/>
    <s v="careerabroad"/>
    <s v="scholarshipalert"/>
    <n v="5"/>
  </r>
  <r>
    <s v="Trave to Japan"/>
    <d v="2025-12-16T00:00:00"/>
    <d v="1899-12-30T13:37:00"/>
    <s v="Tuesday"/>
    <s v="conference/fellowship"/>
    <s v="voiceover"/>
    <x v="0"/>
    <x v="1"/>
    <n v="39.1"/>
    <n v="1592"/>
    <n v="48"/>
    <n v="30"/>
    <n v="3"/>
    <n v="6"/>
    <n v="5.4648241206030151E-2"/>
    <s v="High"/>
    <n v="22"/>
    <n v="7.4400000000000008E-2"/>
    <n v="10.4"/>
    <s v="creatorsearchinsight"/>
    <s v="fullyfunded"/>
    <s v="japanfellowship"/>
    <n v="5"/>
  </r>
  <r>
    <s v="most student study blindly"/>
    <d v="2025-11-24T00:00:00"/>
    <d v="1899-12-30T07:27:00"/>
    <s v="Monday"/>
    <s v="study / summer school"/>
    <s v="text_overlay"/>
    <x v="2"/>
    <x v="3"/>
    <n v="15"/>
    <n v="1045"/>
    <n v="49"/>
    <n v="3"/>
    <n v="0"/>
    <n v="5"/>
    <n v="5.4545454545454543E-2"/>
    <s v="High"/>
    <n v="1"/>
    <n v="1.7000000000000001E-2"/>
    <n v="3"/>
    <s v="creatorsearchinsight"/>
    <s v="schooltalk"/>
    <s v="ielts"/>
    <n v="4"/>
  </r>
  <r>
    <s v="canada conference"/>
    <d v="2025-12-21T00:00:00"/>
    <d v="1899-12-30T14:37:00"/>
    <s v="Sunday"/>
    <s v="conference/fellowship"/>
    <s v="voiceover"/>
    <x v="0"/>
    <x v="3"/>
    <n v="32.81"/>
    <n v="1704"/>
    <n v="61"/>
    <n v="14"/>
    <n v="4"/>
    <n v="11"/>
    <n v="5.2816901408450703E-2"/>
    <s v="High"/>
    <n v="17"/>
    <n v="7.0300000000000001E-2"/>
    <n v="9.9"/>
    <s v="canada"/>
    <s v="canada_life"/>
    <s v="tiktok_live"/>
    <n v="3"/>
  </r>
  <r>
    <s v="fully funded fellowship in Italy"/>
    <d v="2025-11-24T00:00:00"/>
    <d v="1899-12-30T13:48:00"/>
    <s v="Monday"/>
    <s v="conference/fellowship"/>
    <s v="text_overlay"/>
    <x v="2"/>
    <x v="2"/>
    <n v="7.7"/>
    <n v="3555"/>
    <n v="83"/>
    <n v="49"/>
    <n v="10"/>
    <n v="44"/>
    <n v="5.2320675105485229E-2"/>
    <s v="High"/>
    <n v="18"/>
    <n v="5.8400000000000001E-2"/>
    <n v="9"/>
    <s v="australiavisa"/>
    <s v="australia5yearvisa"/>
    <s v="australiaimmigration"/>
    <n v="5"/>
  </r>
  <r>
    <s v="NL Scholarships"/>
    <d v="2025-11-21T00:00:00"/>
    <d v="1899-12-30T08:21:00"/>
    <s v="Friday"/>
    <s v="study / summer school"/>
    <s v="voiceover"/>
    <x v="0"/>
    <x v="1"/>
    <n v="35"/>
    <n v="486"/>
    <n v="16"/>
    <n v="6"/>
    <n v="0"/>
    <n v="2"/>
    <n v="4.9382716049382713E-2"/>
    <s v="High"/>
    <n v="3"/>
    <n v="7.2599999999999998E-2"/>
    <n v="10.5"/>
    <s v="nlscholarship"/>
    <s v="studyinnetherlands"/>
    <s v="scholarship2026"/>
    <n v="4"/>
  </r>
  <r>
    <s v="how to use uni-assist"/>
    <d v="2025-11-28T00:00:00"/>
    <d v="1899-12-30T09:24:00"/>
    <s v="Friday"/>
    <s v="study / summer school"/>
    <s v="screen_recording"/>
    <x v="1"/>
    <x v="0"/>
    <d v="1899-12-30T10:00:00"/>
    <n v="8680"/>
    <n v="167"/>
    <n v="25"/>
    <n v="57"/>
    <n v="170"/>
    <n v="4.8271889400921662E-2"/>
    <s v="High"/>
    <n v="74"/>
    <n v="3.1E-2"/>
    <n v="10"/>
    <s v="creatorsearchinsight"/>
    <s v="uniassist"/>
    <s v="studyingermany"/>
    <n v="4"/>
  </r>
  <r>
    <s v="canada conference"/>
    <d v="2025-12-14T00:00:00"/>
    <d v="1899-12-30T12:13:00"/>
    <s v="Sunday"/>
    <s v="conference/fellowship"/>
    <s v="voiceover"/>
    <x v="0"/>
    <x v="1"/>
    <n v="22.77"/>
    <n v="5966"/>
    <n v="199"/>
    <n v="24"/>
    <n v="20"/>
    <n v="19"/>
    <n v="4.3915521287294673E-2"/>
    <s v="High"/>
    <n v="119"/>
    <n v="0.1245"/>
    <n v="9.3000000000000007"/>
    <s v="Canadaopportunity"/>
    <s v="Tiktoklive"/>
    <s v="canada2026"/>
    <n v="5"/>
  </r>
  <r>
    <s v="Paid Internship"/>
    <d v="2025-11-22T00:00:00"/>
    <d v="1899-12-30T13:37:00"/>
    <s v="Saturday"/>
    <s v="Paid Internship"/>
    <s v="text_overlay"/>
    <x v="2"/>
    <x v="3"/>
    <n v="8.27"/>
    <n v="1339"/>
    <n v="37"/>
    <n v="8"/>
    <n v="1"/>
    <n v="10"/>
    <n v="4.1822255414488425E-2"/>
    <s v="High"/>
    <n v="6"/>
    <n v="0.2137"/>
    <n v="5"/>
    <s v="stem"/>
    <s v="paidintership"/>
    <s v="creatorsearchinsight"/>
    <n v="5"/>
  </r>
  <r>
    <s v="HZDR Germany"/>
    <d v="2025-11-25T00:00:00"/>
    <d v="1899-12-30T13:57:00"/>
    <s v="Tuesday"/>
    <s v="study / summer school"/>
    <s v="voiceover"/>
    <x v="0"/>
    <x v="3"/>
    <n v="46.67"/>
    <n v="1049"/>
    <n v="29"/>
    <n v="6"/>
    <n v="2"/>
    <n v="6"/>
    <n v="4.0991420400381312E-2"/>
    <s v="High"/>
    <n v="3"/>
    <n v="3.2099999999999997E-2"/>
    <n v="7.6"/>
    <s v="creatorsearchinsight"/>
    <s v="researchopportunities"/>
    <s v="HZDR"/>
    <n v="5"/>
  </r>
  <r>
    <s v="how to apply for Czech study visa"/>
    <d v="2026-01-12T00:00:00"/>
    <d v="1899-12-30T22:18:00"/>
    <s v="Monday"/>
    <s v="study / summer school"/>
    <s v="voiceover"/>
    <x v="0"/>
    <x v="3"/>
    <n v="34.729999999999997"/>
    <n v="466"/>
    <n v="12"/>
    <n v="1"/>
    <n v="4"/>
    <n v="2"/>
    <n v="4.07725321888412E-2"/>
    <s v="High"/>
    <n v="2"/>
    <n v="4.2800000000000005E-2"/>
    <n v="7.1"/>
    <s v="creatorsearchinsight"/>
    <s v="studyabroad"/>
    <s v="studentvisa"/>
    <n v="5"/>
  </r>
  <r>
    <s v="study abroad caption"/>
    <d v="2026-01-19T00:00:00"/>
    <d v="1899-12-30T10:45:00"/>
    <s v="Monday"/>
    <s v="study / summer school"/>
    <s v="voiceover"/>
    <x v="0"/>
    <x v="1"/>
    <n v="25.53"/>
    <n v="227"/>
    <n v="7"/>
    <n v="1"/>
    <n v="1"/>
    <n v="0"/>
    <n v="3.9647577092511016E-2"/>
    <s v="Low"/>
    <n v="0"/>
    <n v="4.8399999999999999E-2"/>
    <n v="4.5999999999999996"/>
    <s v="creatorsearchinsight"/>
    <s v="studyabroad"/>
    <s v="studyineurope"/>
    <n v="3"/>
  </r>
  <r>
    <s v="Work abroad program"/>
    <d v="2025-12-19T00:00:00"/>
    <d v="1899-12-30T13:39:00"/>
    <s v="Friday"/>
    <s v="visa /workvisa"/>
    <s v="voiceover"/>
    <x v="0"/>
    <x v="3"/>
    <n v="33.31"/>
    <n v="950"/>
    <n v="26"/>
    <n v="7"/>
    <n v="3"/>
    <n v="1"/>
    <n v="3.8947368421052633E-2"/>
    <s v="Low"/>
    <n v="5"/>
    <n v="7.0999999999999994E-2"/>
    <n v="7.4"/>
    <s v="workpermit"/>
    <s v="workabroad"/>
    <s v="creatorsearchinsight"/>
    <n v="4"/>
  </r>
  <r>
    <s v="france conference"/>
    <d v="2025-01-10T00:00:00"/>
    <d v="1899-12-30T17:53:00"/>
    <s v="Saturday"/>
    <s v="conference/fellowship"/>
    <s v="voiceover"/>
    <x v="0"/>
    <x v="3"/>
    <n v="27"/>
    <n v="639"/>
    <n v="16"/>
    <n v="3"/>
    <n v="3"/>
    <n v="0"/>
    <n v="3.4428794992175271E-2"/>
    <s v="Low"/>
    <n v="2"/>
    <n v="5.9299999999999999E-2"/>
    <n v="6.6"/>
    <s v="creatorsearchinsight"/>
    <s v="expertlife"/>
    <s v="livinginfrance"/>
    <n v="3"/>
  </r>
  <r>
    <s v="Study in Germany for free"/>
    <d v="2026-01-13T00:00:00"/>
    <d v="1899-12-30T14:21:00"/>
    <s v="Tuesday"/>
    <s v="study / summer school"/>
    <s v="voiceover"/>
    <x v="0"/>
    <x v="1"/>
    <n v="37.93"/>
    <n v="884"/>
    <n v="21"/>
    <n v="0"/>
    <n v="5"/>
    <n v="3"/>
    <n v="3.2805429864253395E-2"/>
    <s v="Low"/>
    <n v="4"/>
    <n v="1.38E-2"/>
    <n v="4.4000000000000004"/>
    <s v="creatorsearchinsight"/>
    <s v="studyabroad"/>
    <s v="scholarshipalert"/>
    <n v="5"/>
  </r>
  <r>
    <s v="Jobs abroad"/>
    <d v="2025-12-23T00:00:00"/>
    <d v="1899-12-30T11:24:00"/>
    <s v="Tuesday"/>
    <s v="visa /workvisa"/>
    <s v="text_overlay"/>
    <x v="2"/>
    <x v="3"/>
    <n v="5"/>
    <n v="1108"/>
    <n v="27"/>
    <n v="7"/>
    <n v="1"/>
    <n v="1"/>
    <n v="3.2490974729241874E-2"/>
    <s v="Low"/>
    <n v="0"/>
    <n v="0.32929999999999998"/>
    <n v="5.7"/>
    <s v="creatorsearchinsight"/>
    <s v="careeropportunity"/>
    <m/>
    <n v="5"/>
  </r>
  <r>
    <s v="Visa Advice"/>
    <d v="2026-01-16T00:00:00"/>
    <d v="1899-12-30T15:11:00"/>
    <s v="Friday"/>
    <s v="visa"/>
    <s v="voiceover"/>
    <x v="0"/>
    <x v="3"/>
    <n v="39.17"/>
    <n v="748"/>
    <n v="15"/>
    <n v="5"/>
    <n v="2"/>
    <n v="1"/>
    <n v="3.074866310160428E-2"/>
    <s v="Low"/>
    <n v="4"/>
    <n v="2.75E-2"/>
    <n v="5.6"/>
    <s v="yorubatiktok"/>
    <s v="nigeria"/>
    <s v="visa"/>
    <n v="3"/>
  </r>
  <r>
    <s v="fully funded research program"/>
    <d v="2025-11-25T00:00:00"/>
    <d v="1899-12-30T20:00:00"/>
    <s v="Tuesday"/>
    <s v="study / summer school"/>
    <s v="voiceover"/>
    <x v="0"/>
    <x v="1"/>
    <n v="40.700000000000003"/>
    <n v="1349"/>
    <n v="30"/>
    <n v="5"/>
    <n v="1"/>
    <n v="5"/>
    <n v="3.039288361749444E-2"/>
    <s v="Low"/>
    <n v="8"/>
    <n v="1.5600000000000001E-2"/>
    <n v="5.3"/>
    <s v="creatorsearchinsight"/>
    <s v="eui2026"/>
    <s v="phdabroad"/>
    <n v="5"/>
  </r>
  <r>
    <s v="study visa and opportunity card"/>
    <d v="2026-01-08T00:00:00"/>
    <d v="1899-12-30T09:49:00"/>
    <s v="Thursday"/>
    <s v="study / summer school"/>
    <s v="voiceover"/>
    <x v="0"/>
    <x v="1"/>
    <n v="42.23"/>
    <n v="996"/>
    <n v="21"/>
    <n v="1"/>
    <n v="5"/>
    <n v="3"/>
    <n v="3.0120481927710843E-2"/>
    <s v="Low"/>
    <n v="0"/>
    <n v="3.2599999999999997E-2"/>
    <n v="6.6"/>
    <s v="creatorsearchinsight"/>
    <s v="opportunitycard"/>
    <s v="studentvisa"/>
    <n v="5"/>
  </r>
  <r>
    <s v="Internship"/>
    <d v="2025-12-23T00:00:00"/>
    <d v="1899-12-30T08:25:00"/>
    <s v="Tuesday"/>
    <s v="Paid Internship"/>
    <s v="text_overlay"/>
    <x v="2"/>
    <x v="3"/>
    <n v="6.97"/>
    <n v="483"/>
    <n v="13"/>
    <n v="1"/>
    <n v="0"/>
    <n v="0"/>
    <n v="2.8985507246376812E-2"/>
    <s v="Low"/>
    <n v="0"/>
    <n v="0.182"/>
    <n v="3.9"/>
    <s v="creatorsearchinsight"/>
    <s v="internshiplife"/>
    <s v="corporatejourney"/>
    <n v="3"/>
  </r>
  <r>
    <s v="convention"/>
    <d v="2025-12-17T00:00:00"/>
    <d v="1899-12-30T10:50:00"/>
    <s v="Wednesday"/>
    <s v="conference/fellowship"/>
    <s v="voiceover"/>
    <x v="0"/>
    <x v="1"/>
    <n v="30.43"/>
    <n v="991"/>
    <n v="15"/>
    <n v="10"/>
    <n v="0"/>
    <n v="1"/>
    <n v="2.6236125126135216E-2"/>
    <s v="Low"/>
    <n v="2"/>
    <n v="4.7399999999999998E-2"/>
    <n v="5.4"/>
    <s v="creatorsearchinsight"/>
    <s v="belgium"/>
    <s v="wlc2026"/>
    <n v="5"/>
  </r>
  <r>
    <s v="Austrialia 5- year visa "/>
    <d v="2025-11-22T00:00:00"/>
    <d v="1899-12-30T08:51:00"/>
    <s v="Saturday"/>
    <s v="visa /workvisa"/>
    <s v="text_overlay"/>
    <x v="2"/>
    <x v="3"/>
    <n v="6.6"/>
    <n v="12824"/>
    <n v="142"/>
    <n v="110"/>
    <n v="27"/>
    <n v="43"/>
    <n v="2.5109170305676855E-2"/>
    <s v="Low"/>
    <n v="1"/>
    <n v="0.2273"/>
    <n v="5.0999999999999996"/>
    <s v="migrationtips"/>
    <s v="europejobs"/>
    <s v="visarejection"/>
    <n v="5"/>
  </r>
  <r>
    <s v="Australian nursing"/>
    <d v="2025-12-07T00:00:00"/>
    <d v="1899-12-30T18:01:00"/>
    <s v="Sunday"/>
    <s v="Paid Internship"/>
    <s v="text_overlay"/>
    <x v="2"/>
    <x v="3"/>
    <n v="9.7100000000000009"/>
    <n v="8790"/>
    <n v="101"/>
    <n v="46"/>
    <n v="23"/>
    <n v="38"/>
    <n v="2.3663253697383389E-2"/>
    <s v="Low"/>
    <n v="52"/>
    <n v="0.20499999999999999"/>
    <n v="7.1"/>
    <s v="creatorsearchinsight"/>
    <s v="sponsorship"/>
    <s v="nurse"/>
    <n v="5"/>
  </r>
  <r>
    <s v="fully funded trip to japan"/>
    <d v="2025-11-26T00:00:00"/>
    <d v="1899-12-30T18:51:00"/>
    <s v="Wednesday"/>
    <s v="conference/fellowship"/>
    <s v="text_overlay"/>
    <x v="2"/>
    <x v="3"/>
    <n v="8.6"/>
    <n v="1020"/>
    <n v="15"/>
    <n v="6"/>
    <n v="0"/>
    <n v="3"/>
    <n v="2.3529411764705882E-2"/>
    <s v="Low"/>
    <n v="3"/>
    <n v="0.14150000000000001"/>
    <n v="5.5"/>
    <s v="creatorsearchinsight"/>
    <m/>
    <m/>
    <n v="1"/>
  </r>
  <r>
    <s v="Budapest volunteer"/>
    <d v="2026-01-11T00:00:00"/>
    <d v="1899-12-30T10:26:00"/>
    <s v="Sunday"/>
    <s v="visa / volunteer abroad"/>
    <s v="text_overlay"/>
    <x v="2"/>
    <x v="1"/>
    <n v="10.59"/>
    <n v="1067"/>
    <n v="16"/>
    <n v="7"/>
    <n v="0"/>
    <n v="2"/>
    <n v="2.3430178069353328E-2"/>
    <s v="Low"/>
    <n v="2"/>
    <n v="8.3900000000000002E-2"/>
    <n v="4.0999999999999996"/>
    <s v="creatorsearchinsight"/>
    <s v="volunteer"/>
    <s v="socialgood"/>
    <n v="3"/>
  </r>
  <r>
    <s v="summer school scholarship"/>
    <d v="2026-01-09T00:00:00"/>
    <d v="1899-12-30T09:21:00"/>
    <s v="Friday"/>
    <s v="study / summer school"/>
    <s v="voiceover"/>
    <x v="0"/>
    <x v="1"/>
    <n v="40.799999999999997"/>
    <n v="1078"/>
    <n v="17"/>
    <n v="4"/>
    <n v="2"/>
    <n v="1"/>
    <n v="2.2263450834879406E-2"/>
    <s v="Low"/>
    <n v="3"/>
    <n v="1.5700000000000002E-2"/>
    <n v="5.8"/>
    <s v="creatorsearchinsight"/>
    <s v="studyabroad"/>
    <s v="studytips"/>
    <n v="3"/>
  </r>
  <r>
    <s v="top reason visa got rejected"/>
    <d v="2025-11-21T00:00:00"/>
    <d v="1899-12-30T10:49:00"/>
    <s v="Friday"/>
    <s v="visa"/>
    <s v="text_overlay"/>
    <x v="2"/>
    <x v="0"/>
    <n v="6.5"/>
    <n v="1218"/>
    <n v="23"/>
    <n v="2"/>
    <n v="0"/>
    <n v="2"/>
    <n v="2.2167487684729065E-2"/>
    <s v="Low"/>
    <n v="28"/>
    <n v="9.5199999999999993E-2"/>
    <n v="14"/>
    <s v="visasponsorship"/>
    <s v="canadajobs"/>
    <s v="creatorsearchinsight"/>
    <n v="5"/>
  </r>
  <r>
    <s v="Research Internship"/>
    <d v="2025-12-31T00:00:00"/>
    <d v="1899-12-30T19:29:00"/>
    <s v="Wednesday"/>
    <s v="Paid Internship"/>
    <s v="voiceover"/>
    <x v="0"/>
    <x v="1"/>
    <n v="34.93"/>
    <n v="925"/>
    <n v="15"/>
    <n v="2"/>
    <n v="2"/>
    <n v="1"/>
    <n v="2.1621621621621623E-2"/>
    <s v="Low"/>
    <n v="3"/>
    <n v="2.58E-2"/>
    <n v="4"/>
    <s v="creatorsearchinsight"/>
    <s v="summer program"/>
    <s v="researchinternship"/>
    <n v="5"/>
  </r>
  <r>
    <s v="Study in Germany for free"/>
    <d v="2026-01-12T00:00:00"/>
    <d v="1899-12-30T18:31:00"/>
    <s v="Monday"/>
    <s v="study / summer school"/>
    <s v="text_overlay"/>
    <x v="2"/>
    <x v="3"/>
    <n v="9.1"/>
    <n v="940"/>
    <n v="14"/>
    <n v="1"/>
    <n v="1"/>
    <n v="2"/>
    <n v="1.9148936170212766E-2"/>
    <s v="Low"/>
    <n v="0"/>
    <n v="0.11779999999999999"/>
    <n v="3.9"/>
    <s v="creatorsearchinsight"/>
    <s v="studyabroad"/>
    <s v="scholarshipalert"/>
    <n v="3"/>
  </r>
  <r>
    <s v="Germany visa "/>
    <d v="2025-12-08T00:00:00"/>
    <d v="1899-12-30T21:26:00"/>
    <s v="Monday"/>
    <s v="study / summer school"/>
    <s v="text_overlay"/>
    <x v="2"/>
    <x v="3"/>
    <n v="11.3"/>
    <n v="1186"/>
    <n v="16"/>
    <n v="5"/>
    <n v="0"/>
    <n v="1"/>
    <n v="1.8549747048903879E-2"/>
    <s v="Low"/>
    <n v="2"/>
    <n v="0.1229"/>
    <n v="3.7"/>
    <s v="creatorsearchinsight"/>
    <s v="movetogermany"/>
    <s v="visaguide"/>
    <n v="5"/>
  </r>
  <r>
    <s v="netherlands admission"/>
    <d v="2026-01-16T00:00:00"/>
    <d v="1899-12-30T09:00:00"/>
    <s v="Friday"/>
    <s v="study / summer school"/>
    <s v="voiceover"/>
    <x v="0"/>
    <x v="1"/>
    <n v="38.43"/>
    <n v="798"/>
    <n v="8"/>
    <n v="4"/>
    <n v="1"/>
    <n v="0"/>
    <n v="1.6290726817042606E-2"/>
    <s v="Low"/>
    <n v="2"/>
    <n v="1.5900000000000001E-2"/>
    <n v="4"/>
    <s v="creatorsearchinsight"/>
    <s v="migrationtips"/>
    <s v="visaexpert"/>
    <n v="3"/>
  </r>
  <r>
    <s v="europe work secret"/>
    <d v="2025-11-26T00:00:00"/>
    <d v="1899-12-30T18:02:00"/>
    <s v="Wednesday"/>
    <s v="visa /workvisa"/>
    <s v="voiceover"/>
    <x v="0"/>
    <x v="3"/>
    <n v="45.2"/>
    <n v="614"/>
    <n v="8"/>
    <n v="1"/>
    <n v="0"/>
    <n v="1"/>
    <n v="1.6286644951140065E-2"/>
    <s v="Low"/>
    <n v="1"/>
    <n v="4.4199999999999996E-2"/>
    <n v="10.199999999999999"/>
    <s v="creatorsearchinsight"/>
    <s v="workabroad"/>
    <s v="europejob"/>
    <n v="5"/>
  </r>
  <r>
    <s v="Sponsor Approval"/>
    <d v="2026-01-15T00:00:00"/>
    <d v="1899-12-30T13:15:00"/>
    <s v="Thursday"/>
    <s v="visa /workvisa"/>
    <s v="voiceover"/>
    <x v="0"/>
    <x v="3"/>
    <n v="47.83"/>
    <n v="778"/>
    <n v="7"/>
    <n v="1"/>
    <n v="1"/>
    <n v="1"/>
    <n v="1.2853470437017995E-2"/>
    <s v="Low"/>
    <n v="1"/>
    <n v="9.9000000000000008E-3"/>
    <n v="4.4000000000000004"/>
    <s v="creatorsearchinsight"/>
    <s v="workandtrave"/>
    <s v="secondjob"/>
    <n v="3"/>
  </r>
  <r>
    <s v="full scholarship to study artificail"/>
    <d v="2025-11-27T00:00:00"/>
    <d v="1899-12-30T11:35:00"/>
    <s v="Thursday"/>
    <s v="study / summer school"/>
    <s v="voiceover"/>
    <x v="0"/>
    <x v="0"/>
    <n v="41.27"/>
    <n v="162"/>
    <n v="1"/>
    <n v="1"/>
    <n v="0"/>
    <n v="0"/>
    <n v="1.2345679012345678E-2"/>
    <s v="Low"/>
    <n v="0"/>
    <n v="1.1200000000000002E-2"/>
    <n v="3"/>
    <s v="creatorsearchinsight"/>
    <s v="emai"/>
    <s v="studyineurope"/>
    <n v="5"/>
  </r>
  <r>
    <s v="MBA Scholarship"/>
    <d v="2026-01-14T00:00:00"/>
    <d v="1899-12-30T10:46:00"/>
    <s v="Wednesday"/>
    <s v="study / summer school"/>
    <s v="voiceover"/>
    <x v="0"/>
    <x v="1"/>
    <n v="45.43"/>
    <n v="670"/>
    <n v="3"/>
    <n v="2"/>
    <n v="2"/>
    <n v="1"/>
    <n v="1.1940298507462687E-2"/>
    <s v="Low"/>
    <n v="0"/>
    <n v="0.57999999999999996"/>
    <n v="3.1"/>
    <s v="creatorsearchinsight"/>
    <s v="studyabroad"/>
    <s v="fullyfunded"/>
    <n v="5"/>
  </r>
  <r>
    <s v="working visa requirment"/>
    <d v="2025-11-26T00:00:00"/>
    <d v="1899-12-30T22:42:00"/>
    <s v="Wednesday"/>
    <s v="visa /workvisa"/>
    <s v="text_overlay"/>
    <x v="2"/>
    <x v="3"/>
    <n v="5.57"/>
    <n v="312"/>
    <n v="2"/>
    <n v="0"/>
    <n v="0"/>
    <n v="0"/>
    <n v="6.41025641025641E-3"/>
    <s v="Low"/>
    <n v="0"/>
    <n v="0.23199999999999998"/>
    <n v="5.6"/>
    <s v="creatorsearchinsight"/>
    <s v="expertlife"/>
    <s v="workvisa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54C07-0AE9-E546-B259-0F20BD02953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Engagement Rate" fld="1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1FE6B-3E42-1745-885F-09AF8CD1085F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Engagement Rate" fld="1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D55F-37D0-0048-AEB3-172EF388D2B9}">
  <dimension ref="A1:B6"/>
  <sheetViews>
    <sheetView workbookViewId="0">
      <selection activeCell="B5" sqref="B5"/>
    </sheetView>
  </sheetViews>
  <sheetFormatPr baseColWidth="10" defaultRowHeight="15" x14ac:dyDescent="0.2"/>
  <cols>
    <col min="1" max="1" width="12.1640625" bestFit="1" customWidth="1"/>
    <col min="2" max="2" width="21.5" bestFit="1" customWidth="1"/>
    <col min="3" max="3" width="17.5" bestFit="1" customWidth="1"/>
  </cols>
  <sheetData>
    <row r="1" spans="1:2" x14ac:dyDescent="0.2">
      <c r="A1" s="6" t="s">
        <v>68</v>
      </c>
      <c r="B1" t="s">
        <v>168</v>
      </c>
    </row>
    <row r="2" spans="1:2" x14ac:dyDescent="0.2">
      <c r="A2" s="7" t="s">
        <v>169</v>
      </c>
      <c r="B2">
        <v>5.3713810280615275E-2</v>
      </c>
    </row>
    <row r="3" spans="1:2" x14ac:dyDescent="0.2">
      <c r="A3" s="7" t="s">
        <v>171</v>
      </c>
      <c r="B3">
        <v>4.3150709992493264E-2</v>
      </c>
    </row>
    <row r="4" spans="1:2" x14ac:dyDescent="0.2">
      <c r="A4" s="7" t="s">
        <v>172</v>
      </c>
      <c r="B4">
        <v>6.3211973343046124E-2</v>
      </c>
    </row>
    <row r="5" spans="1:2" x14ac:dyDescent="0.2">
      <c r="A5" s="7" t="s">
        <v>170</v>
      </c>
      <c r="B5">
        <v>3.6627455068728484E-2</v>
      </c>
    </row>
    <row r="6" spans="1:2" x14ac:dyDescent="0.2">
      <c r="A6" s="7" t="s">
        <v>69</v>
      </c>
      <c r="B6">
        <v>4.2220035296158212E-2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A8DC-AA1F-C743-9D7E-88A87BA8CB98}">
  <dimension ref="A1:B5"/>
  <sheetViews>
    <sheetView workbookViewId="0"/>
  </sheetViews>
  <sheetFormatPr baseColWidth="10" defaultRowHeight="15" x14ac:dyDescent="0.2"/>
  <cols>
    <col min="1" max="1" width="14.1640625" bestFit="1" customWidth="1"/>
    <col min="2" max="2" width="21.5" bestFit="1" customWidth="1"/>
  </cols>
  <sheetData>
    <row r="1" spans="1:2" x14ac:dyDescent="0.2">
      <c r="A1" s="6" t="s">
        <v>68</v>
      </c>
      <c r="B1" t="s">
        <v>168</v>
      </c>
    </row>
    <row r="2" spans="1:2" x14ac:dyDescent="0.2">
      <c r="A2" s="7" t="s">
        <v>66</v>
      </c>
      <c r="B2">
        <v>6.1187580490764337E-2</v>
      </c>
    </row>
    <row r="3" spans="1:2" x14ac:dyDescent="0.2">
      <c r="A3" s="7" t="s">
        <v>64</v>
      </c>
      <c r="B3">
        <v>3.2498143279277504E-2</v>
      </c>
    </row>
    <row r="4" spans="1:2" x14ac:dyDescent="0.2">
      <c r="A4" s="7" t="s">
        <v>65</v>
      </c>
      <c r="B4">
        <v>4.5489528928400594E-2</v>
      </c>
    </row>
    <row r="5" spans="1:2" x14ac:dyDescent="0.2">
      <c r="A5" s="7" t="s">
        <v>69</v>
      </c>
      <c r="B5">
        <v>4.2220035296158226E-2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topLeftCell="A29" zoomScale="115" zoomScaleNormal="115" workbookViewId="0">
      <selection activeCell="P7" sqref="P7"/>
    </sheetView>
  </sheetViews>
  <sheetFormatPr baseColWidth="10" defaultColWidth="8.83203125" defaultRowHeight="15" x14ac:dyDescent="0.2"/>
  <cols>
    <col min="1" max="1" width="13.6640625" customWidth="1"/>
    <col min="2" max="2" width="10.5" bestFit="1" customWidth="1"/>
    <col min="5" max="5" width="14" customWidth="1"/>
    <col min="6" max="7" width="18" customWidth="1"/>
    <col min="9" max="9" width="14.6640625" bestFit="1" customWidth="1"/>
    <col min="14" max="15" width="15.83203125" customWidth="1"/>
    <col min="23" max="23" width="12.5" customWidth="1"/>
    <col min="24" max="24" width="16" customWidth="1"/>
  </cols>
  <sheetData>
    <row r="1" spans="1:24" x14ac:dyDescent="0.2">
      <c r="A1" s="1" t="s">
        <v>167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173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67</v>
      </c>
      <c r="P1" s="1" t="s">
        <v>166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5"/>
    </row>
    <row r="2" spans="1:24" x14ac:dyDescent="0.2">
      <c r="A2" t="s">
        <v>30</v>
      </c>
      <c r="B2" s="2">
        <v>45981</v>
      </c>
      <c r="C2" s="4">
        <v>0.81319444444444444</v>
      </c>
      <c r="D2" t="s">
        <v>25</v>
      </c>
      <c r="E2" t="s">
        <v>26</v>
      </c>
      <c r="F2" t="s">
        <v>65</v>
      </c>
      <c r="G2" t="str">
        <f>LOWER(TRIM(F2))</f>
        <v>voiceover</v>
      </c>
      <c r="H2" t="s">
        <v>169</v>
      </c>
      <c r="I2">
        <v>53.92</v>
      </c>
      <c r="J2">
        <v>21983</v>
      </c>
      <c r="K2">
        <v>968</v>
      </c>
      <c r="L2">
        <v>269</v>
      </c>
      <c r="M2">
        <v>231</v>
      </c>
      <c r="N2">
        <v>489</v>
      </c>
      <c r="O2">
        <f t="shared" ref="O2:O33" si="0">(K2+L2+M2+N2)/J2</f>
        <v>8.9023336214347451E-2</v>
      </c>
      <c r="P2" t="str">
        <f t="shared" ref="P2:P33" si="1">IF(O2&gt;$O$54, "High","Low")</f>
        <v>High</v>
      </c>
      <c r="Q2">
        <v>290</v>
      </c>
      <c r="R2" s="3">
        <v>0.28129999999999999</v>
      </c>
      <c r="S2">
        <v>6.4</v>
      </c>
      <c r="T2" t="s">
        <v>22</v>
      </c>
      <c r="U2" t="s">
        <v>23</v>
      </c>
      <c r="V2" t="s">
        <v>24</v>
      </c>
      <c r="W2">
        <v>5</v>
      </c>
    </row>
    <row r="3" spans="1:24" x14ac:dyDescent="0.2">
      <c r="A3" t="s">
        <v>34</v>
      </c>
      <c r="B3" s="2">
        <v>45983</v>
      </c>
      <c r="C3" s="4">
        <v>0.8125</v>
      </c>
      <c r="D3" t="s">
        <v>32</v>
      </c>
      <c r="E3" t="s">
        <v>35</v>
      </c>
      <c r="F3" t="s">
        <v>65</v>
      </c>
      <c r="G3" t="str">
        <f t="shared" ref="G3:G51" si="2">LOWER(TRIM(F3))</f>
        <v>voiceover</v>
      </c>
      <c r="H3" t="s">
        <v>169</v>
      </c>
      <c r="I3">
        <v>41.4</v>
      </c>
      <c r="J3">
        <v>12106</v>
      </c>
      <c r="K3">
        <v>500</v>
      </c>
      <c r="L3">
        <v>261</v>
      </c>
      <c r="M3">
        <v>106</v>
      </c>
      <c r="N3">
        <v>173</v>
      </c>
      <c r="O3">
        <f t="shared" si="0"/>
        <v>8.5907814306955224E-2</v>
      </c>
      <c r="P3" t="str">
        <f t="shared" si="1"/>
        <v>High</v>
      </c>
      <c r="Q3">
        <v>288</v>
      </c>
      <c r="R3" s="3">
        <v>6.1499999999999999E-2</v>
      </c>
      <c r="S3">
        <v>11.9</v>
      </c>
      <c r="T3" t="s">
        <v>27</v>
      </c>
      <c r="U3" t="s">
        <v>28</v>
      </c>
      <c r="V3" t="s">
        <v>29</v>
      </c>
      <c r="W3">
        <v>5</v>
      </c>
    </row>
    <row r="4" spans="1:24" x14ac:dyDescent="0.2">
      <c r="A4" t="s">
        <v>62</v>
      </c>
      <c r="B4" s="2">
        <v>45982</v>
      </c>
      <c r="C4" s="4">
        <v>0.4513888888888889</v>
      </c>
      <c r="D4" t="s">
        <v>20</v>
      </c>
      <c r="E4" t="s">
        <v>33</v>
      </c>
      <c r="F4" t="s">
        <v>65</v>
      </c>
      <c r="G4" t="str">
        <f t="shared" si="2"/>
        <v>voiceover</v>
      </c>
      <c r="H4" t="s">
        <v>171</v>
      </c>
      <c r="I4">
        <v>52.5</v>
      </c>
      <c r="J4">
        <v>1685</v>
      </c>
      <c r="K4">
        <v>51</v>
      </c>
      <c r="L4">
        <v>41</v>
      </c>
      <c r="M4">
        <v>15</v>
      </c>
      <c r="N4">
        <v>24</v>
      </c>
      <c r="O4">
        <f t="shared" si="0"/>
        <v>7.7744807121661721E-2</v>
      </c>
      <c r="P4" t="str">
        <f t="shared" si="1"/>
        <v>High</v>
      </c>
      <c r="Q4">
        <v>73</v>
      </c>
      <c r="R4" s="3">
        <v>0.33989999999999998</v>
      </c>
      <c r="S4">
        <v>5.8</v>
      </c>
      <c r="T4" t="s">
        <v>41</v>
      </c>
      <c r="U4" t="s">
        <v>40</v>
      </c>
      <c r="V4" t="s">
        <v>39</v>
      </c>
      <c r="W4">
        <v>5</v>
      </c>
    </row>
    <row r="5" spans="1:24" x14ac:dyDescent="0.2">
      <c r="A5" t="s">
        <v>74</v>
      </c>
      <c r="B5" s="2">
        <v>46025</v>
      </c>
      <c r="C5" s="10">
        <v>0.4236111111111111</v>
      </c>
      <c r="D5" t="s">
        <v>32</v>
      </c>
      <c r="E5" t="s">
        <v>49</v>
      </c>
      <c r="F5" t="s">
        <v>65</v>
      </c>
      <c r="G5" t="str">
        <f t="shared" si="2"/>
        <v>voiceover</v>
      </c>
      <c r="H5" t="s">
        <v>171</v>
      </c>
      <c r="I5">
        <v>36.9</v>
      </c>
      <c r="J5" s="11">
        <v>5435</v>
      </c>
      <c r="K5">
        <v>186</v>
      </c>
      <c r="L5">
        <v>133</v>
      </c>
      <c r="M5">
        <v>51</v>
      </c>
      <c r="N5">
        <v>52</v>
      </c>
      <c r="O5">
        <f t="shared" si="0"/>
        <v>7.7644894204231832E-2</v>
      </c>
      <c r="P5" t="str">
        <f t="shared" si="1"/>
        <v>High</v>
      </c>
      <c r="Q5">
        <v>79</v>
      </c>
      <c r="R5" s="3">
        <v>9.5199999999999993E-2</v>
      </c>
      <c r="S5">
        <v>12</v>
      </c>
      <c r="T5" t="s">
        <v>75</v>
      </c>
      <c r="U5" t="s">
        <v>46</v>
      </c>
      <c r="V5" t="s">
        <v>29</v>
      </c>
      <c r="W5">
        <v>5</v>
      </c>
    </row>
    <row r="6" spans="1:24" x14ac:dyDescent="0.2">
      <c r="A6" t="s">
        <v>53</v>
      </c>
      <c r="B6" s="2">
        <v>45985</v>
      </c>
      <c r="C6" s="4">
        <v>0.83263888888888893</v>
      </c>
      <c r="D6" t="s">
        <v>48</v>
      </c>
      <c r="E6" t="s">
        <v>33</v>
      </c>
      <c r="F6" t="s">
        <v>66</v>
      </c>
      <c r="G6" t="str">
        <f t="shared" si="2"/>
        <v>screen_recording</v>
      </c>
      <c r="H6" t="s">
        <v>172</v>
      </c>
      <c r="I6">
        <v>46.11</v>
      </c>
      <c r="J6">
        <v>2537</v>
      </c>
      <c r="K6">
        <v>95</v>
      </c>
      <c r="L6">
        <v>9</v>
      </c>
      <c r="M6">
        <v>29</v>
      </c>
      <c r="N6">
        <v>55</v>
      </c>
      <c r="O6">
        <f t="shared" si="0"/>
        <v>7.4103271580607019E-2</v>
      </c>
      <c r="P6" t="str">
        <f t="shared" si="1"/>
        <v>High</v>
      </c>
      <c r="Q6">
        <v>242</v>
      </c>
      <c r="R6" s="3">
        <v>0.1147</v>
      </c>
      <c r="S6">
        <v>14.1</v>
      </c>
      <c r="T6" t="s">
        <v>36</v>
      </c>
      <c r="U6" t="s">
        <v>37</v>
      </c>
      <c r="V6" t="s">
        <v>38</v>
      </c>
      <c r="W6">
        <v>5</v>
      </c>
    </row>
    <row r="7" spans="1:24" x14ac:dyDescent="0.2">
      <c r="A7" t="s">
        <v>118</v>
      </c>
      <c r="B7" s="2">
        <v>46033</v>
      </c>
      <c r="C7" s="4">
        <v>0.67083333333333328</v>
      </c>
      <c r="D7" t="s">
        <v>43</v>
      </c>
      <c r="E7" t="s">
        <v>21</v>
      </c>
      <c r="F7" t="s">
        <v>65</v>
      </c>
      <c r="G7" t="str">
        <f t="shared" si="2"/>
        <v>voiceover</v>
      </c>
      <c r="H7" t="s">
        <v>171</v>
      </c>
      <c r="I7">
        <v>37.299999999999997</v>
      </c>
      <c r="J7">
        <v>1514</v>
      </c>
      <c r="K7">
        <v>52</v>
      </c>
      <c r="L7">
        <v>24</v>
      </c>
      <c r="M7">
        <v>13</v>
      </c>
      <c r="N7">
        <v>16</v>
      </c>
      <c r="O7">
        <f t="shared" si="0"/>
        <v>6.9352708058124171E-2</v>
      </c>
      <c r="P7" t="str">
        <f t="shared" si="1"/>
        <v>High</v>
      </c>
      <c r="Q7">
        <v>6</v>
      </c>
      <c r="R7" s="3">
        <v>6.6600000000000006E-2</v>
      </c>
      <c r="S7">
        <v>9.6</v>
      </c>
      <c r="T7" t="s">
        <v>29</v>
      </c>
      <c r="U7" t="s">
        <v>116</v>
      </c>
      <c r="V7" t="s">
        <v>119</v>
      </c>
      <c r="W7">
        <v>4</v>
      </c>
    </row>
    <row r="8" spans="1:24" x14ac:dyDescent="0.2">
      <c r="A8" t="s">
        <v>76</v>
      </c>
      <c r="B8" s="2">
        <v>46026</v>
      </c>
      <c r="C8" s="4">
        <v>0.83194444444444449</v>
      </c>
      <c r="D8" t="s">
        <v>43</v>
      </c>
      <c r="E8" t="s">
        <v>59</v>
      </c>
      <c r="F8" t="s">
        <v>65</v>
      </c>
      <c r="G8" t="str">
        <f t="shared" si="2"/>
        <v>voiceover</v>
      </c>
      <c r="H8" t="s">
        <v>171</v>
      </c>
      <c r="I8">
        <v>36.22</v>
      </c>
      <c r="J8">
        <v>8872</v>
      </c>
      <c r="K8">
        <v>343</v>
      </c>
      <c r="L8">
        <v>164</v>
      </c>
      <c r="M8">
        <v>31</v>
      </c>
      <c r="N8">
        <v>70</v>
      </c>
      <c r="O8">
        <f t="shared" si="0"/>
        <v>6.8530207394048692E-2</v>
      </c>
      <c r="P8" t="str">
        <f t="shared" si="1"/>
        <v>High</v>
      </c>
      <c r="Q8">
        <v>135</v>
      </c>
      <c r="R8" s="3">
        <v>0.1273</v>
      </c>
      <c r="S8">
        <v>14.6</v>
      </c>
      <c r="T8" t="s">
        <v>29</v>
      </c>
      <c r="U8" t="s">
        <v>28</v>
      </c>
      <c r="V8" t="s">
        <v>77</v>
      </c>
      <c r="W8">
        <v>5</v>
      </c>
    </row>
    <row r="9" spans="1:24" x14ac:dyDescent="0.2">
      <c r="A9" s="9" t="s">
        <v>70</v>
      </c>
      <c r="B9" s="2">
        <v>46004</v>
      </c>
      <c r="C9" s="8">
        <v>0.52083333333333337</v>
      </c>
      <c r="D9" t="s">
        <v>32</v>
      </c>
      <c r="E9" t="s">
        <v>71</v>
      </c>
      <c r="F9" t="s">
        <v>65</v>
      </c>
      <c r="G9" t="str">
        <f t="shared" si="2"/>
        <v>voiceover</v>
      </c>
      <c r="H9" t="s">
        <v>171</v>
      </c>
      <c r="I9">
        <v>37.200000000000003</v>
      </c>
      <c r="J9">
        <v>184907</v>
      </c>
      <c r="K9">
        <v>6220</v>
      </c>
      <c r="L9">
        <v>1989</v>
      </c>
      <c r="M9">
        <v>2196</v>
      </c>
      <c r="N9">
        <v>1943</v>
      </c>
      <c r="O9">
        <f t="shared" si="0"/>
        <v>6.6779516189219443E-2</v>
      </c>
      <c r="P9" t="str">
        <f t="shared" si="1"/>
        <v>High</v>
      </c>
      <c r="Q9">
        <v>2648</v>
      </c>
      <c r="R9" s="3">
        <v>6.7099999999999993E-2</v>
      </c>
      <c r="S9">
        <v>11.6</v>
      </c>
      <c r="T9" t="s">
        <v>29</v>
      </c>
      <c r="U9" t="s">
        <v>72</v>
      </c>
      <c r="V9" t="s">
        <v>73</v>
      </c>
      <c r="W9">
        <v>5</v>
      </c>
    </row>
    <row r="10" spans="1:24" x14ac:dyDescent="0.2">
      <c r="A10" t="s">
        <v>42</v>
      </c>
      <c r="B10" s="2">
        <v>45984</v>
      </c>
      <c r="C10" s="4">
        <v>0.89722222222222225</v>
      </c>
      <c r="D10" t="s">
        <v>43</v>
      </c>
      <c r="E10" t="s">
        <v>33</v>
      </c>
      <c r="F10" t="s">
        <v>65</v>
      </c>
      <c r="G10" t="str">
        <f t="shared" si="2"/>
        <v>voiceover</v>
      </c>
      <c r="H10" t="s">
        <v>169</v>
      </c>
      <c r="I10">
        <v>43.8</v>
      </c>
      <c r="J10">
        <v>5746</v>
      </c>
      <c r="K10">
        <v>200</v>
      </c>
      <c r="L10">
        <v>59</v>
      </c>
      <c r="M10">
        <v>25</v>
      </c>
      <c r="N10">
        <v>87</v>
      </c>
      <c r="O10">
        <f t="shared" si="0"/>
        <v>6.4566655064392617E-2</v>
      </c>
      <c r="P10" t="str">
        <f t="shared" si="1"/>
        <v>High</v>
      </c>
      <c r="Q10">
        <v>79</v>
      </c>
      <c r="R10" s="3">
        <v>6.9099999999999995E-2</v>
      </c>
      <c r="S10">
        <v>11.7</v>
      </c>
      <c r="T10" t="s">
        <v>44</v>
      </c>
      <c r="U10" t="s">
        <v>45</v>
      </c>
      <c r="V10" t="s">
        <v>46</v>
      </c>
      <c r="W10">
        <v>5</v>
      </c>
    </row>
    <row r="11" spans="1:24" x14ac:dyDescent="0.2">
      <c r="A11" t="s">
        <v>160</v>
      </c>
      <c r="B11" s="2">
        <v>46039</v>
      </c>
      <c r="C11" s="4">
        <v>0.48541666666666666</v>
      </c>
      <c r="D11" t="s">
        <v>32</v>
      </c>
      <c r="E11" t="s">
        <v>59</v>
      </c>
      <c r="F11" t="s">
        <v>65</v>
      </c>
      <c r="G11" t="str">
        <f t="shared" si="2"/>
        <v>voiceover</v>
      </c>
      <c r="H11" t="s">
        <v>170</v>
      </c>
      <c r="I11">
        <v>39.07</v>
      </c>
      <c r="J11">
        <v>347</v>
      </c>
      <c r="K11">
        <v>17</v>
      </c>
      <c r="L11">
        <v>3</v>
      </c>
      <c r="M11">
        <v>2</v>
      </c>
      <c r="N11">
        <v>0</v>
      </c>
      <c r="O11">
        <f t="shared" si="0"/>
        <v>6.3400576368876083E-2</v>
      </c>
      <c r="P11" t="str">
        <f t="shared" si="1"/>
        <v>High</v>
      </c>
      <c r="Q11">
        <v>1</v>
      </c>
      <c r="R11" s="3">
        <v>6.0400000000000002E-2</v>
      </c>
      <c r="S11">
        <v>7.3</v>
      </c>
      <c r="T11" t="s">
        <v>29</v>
      </c>
      <c r="U11" t="s">
        <v>28</v>
      </c>
      <c r="V11" t="s">
        <v>161</v>
      </c>
      <c r="W11">
        <v>3</v>
      </c>
    </row>
    <row r="12" spans="1:24" x14ac:dyDescent="0.2">
      <c r="A12" t="s">
        <v>162</v>
      </c>
      <c r="B12" s="2">
        <v>38734</v>
      </c>
      <c r="C12" s="4">
        <v>0.67777777777777781</v>
      </c>
      <c r="D12" t="s">
        <v>32</v>
      </c>
      <c r="E12" t="s">
        <v>21</v>
      </c>
      <c r="F12" t="s">
        <v>65</v>
      </c>
      <c r="G12" t="str">
        <f t="shared" si="2"/>
        <v>voiceover</v>
      </c>
      <c r="H12" t="s">
        <v>170</v>
      </c>
      <c r="I12">
        <v>57.61</v>
      </c>
      <c r="J12">
        <v>319</v>
      </c>
      <c r="K12">
        <v>14</v>
      </c>
      <c r="L12">
        <v>4</v>
      </c>
      <c r="M12">
        <v>2</v>
      </c>
      <c r="N12">
        <v>0</v>
      </c>
      <c r="O12">
        <f t="shared" si="0"/>
        <v>6.2695924764890276E-2</v>
      </c>
      <c r="P12" t="str">
        <f t="shared" si="1"/>
        <v>High</v>
      </c>
      <c r="Q12">
        <v>1</v>
      </c>
      <c r="R12" s="3">
        <v>4.6199999999999998E-2</v>
      </c>
      <c r="S12">
        <v>9.6999999999999993</v>
      </c>
      <c r="T12" t="s">
        <v>29</v>
      </c>
      <c r="U12" t="s">
        <v>163</v>
      </c>
      <c r="V12" t="s">
        <v>164</v>
      </c>
      <c r="W12">
        <v>3</v>
      </c>
    </row>
    <row r="13" spans="1:24" x14ac:dyDescent="0.2">
      <c r="A13" t="s">
        <v>123</v>
      </c>
      <c r="B13" s="2">
        <v>46036</v>
      </c>
      <c r="C13" s="4">
        <v>0.32013888888888886</v>
      </c>
      <c r="D13" t="s">
        <v>85</v>
      </c>
      <c r="E13" t="s">
        <v>33</v>
      </c>
      <c r="F13" t="s">
        <v>64</v>
      </c>
      <c r="G13" t="str">
        <f t="shared" si="2"/>
        <v>text_overlay</v>
      </c>
      <c r="H13" t="s">
        <v>170</v>
      </c>
      <c r="I13">
        <v>2.67</v>
      </c>
      <c r="J13">
        <v>50</v>
      </c>
      <c r="K13">
        <v>2</v>
      </c>
      <c r="L13">
        <v>0</v>
      </c>
      <c r="M13">
        <v>1</v>
      </c>
      <c r="N13">
        <v>0</v>
      </c>
      <c r="O13">
        <f t="shared" si="0"/>
        <v>0.06</v>
      </c>
      <c r="P13" t="str">
        <f t="shared" si="1"/>
        <v>High</v>
      </c>
      <c r="Q13">
        <v>0</v>
      </c>
      <c r="R13" s="3">
        <v>0.63159999999999994</v>
      </c>
      <c r="S13">
        <v>4.2</v>
      </c>
      <c r="T13" t="s">
        <v>29</v>
      </c>
      <c r="U13" t="s">
        <v>129</v>
      </c>
      <c r="V13" t="s">
        <v>24</v>
      </c>
      <c r="W13">
        <v>3</v>
      </c>
    </row>
    <row r="14" spans="1:24" x14ac:dyDescent="0.2">
      <c r="A14" t="s">
        <v>137</v>
      </c>
      <c r="B14" s="2">
        <v>46031</v>
      </c>
      <c r="C14" s="4">
        <v>0.32500000000000001</v>
      </c>
      <c r="D14" t="s">
        <v>20</v>
      </c>
      <c r="E14" t="s">
        <v>35</v>
      </c>
      <c r="F14" t="s">
        <v>65</v>
      </c>
      <c r="G14" t="str">
        <f t="shared" si="2"/>
        <v>voiceover</v>
      </c>
      <c r="H14" t="s">
        <v>170</v>
      </c>
      <c r="I14">
        <v>22.23</v>
      </c>
      <c r="J14">
        <v>526</v>
      </c>
      <c r="K14">
        <v>26</v>
      </c>
      <c r="L14">
        <v>0</v>
      </c>
      <c r="M14">
        <v>3</v>
      </c>
      <c r="N14">
        <v>2</v>
      </c>
      <c r="O14">
        <f t="shared" si="0"/>
        <v>5.8935361216730035E-2</v>
      </c>
      <c r="P14" t="str">
        <f t="shared" si="1"/>
        <v>High</v>
      </c>
      <c r="Q14">
        <v>0</v>
      </c>
      <c r="R14" s="3">
        <v>4.5999999999999999E-2</v>
      </c>
      <c r="S14">
        <v>4.2</v>
      </c>
      <c r="T14" t="s">
        <v>29</v>
      </c>
      <c r="U14" t="s">
        <v>28</v>
      </c>
      <c r="V14" t="s">
        <v>52</v>
      </c>
      <c r="W14">
        <v>3</v>
      </c>
    </row>
    <row r="15" spans="1:24" x14ac:dyDescent="0.2">
      <c r="A15" t="s">
        <v>81</v>
      </c>
      <c r="B15" s="2">
        <v>46026</v>
      </c>
      <c r="C15" s="4">
        <v>0.90972222222222221</v>
      </c>
      <c r="D15" t="s">
        <v>43</v>
      </c>
      <c r="E15" t="s">
        <v>49</v>
      </c>
      <c r="F15" t="s">
        <v>65</v>
      </c>
      <c r="G15" t="str">
        <f t="shared" si="2"/>
        <v>voiceover</v>
      </c>
      <c r="H15" t="s">
        <v>171</v>
      </c>
      <c r="I15">
        <v>35.229999999999997</v>
      </c>
      <c r="J15">
        <v>1068</v>
      </c>
      <c r="K15">
        <v>42</v>
      </c>
      <c r="L15">
        <v>3</v>
      </c>
      <c r="M15">
        <v>6</v>
      </c>
      <c r="N15">
        <v>10</v>
      </c>
      <c r="O15">
        <f t="shared" si="0"/>
        <v>5.7116104868913858E-2</v>
      </c>
      <c r="P15" t="str">
        <f t="shared" si="1"/>
        <v>High</v>
      </c>
      <c r="Q15">
        <v>3</v>
      </c>
      <c r="R15" s="3">
        <v>9.4799999999999995E-2</v>
      </c>
      <c r="S15">
        <v>10.199999999999999</v>
      </c>
      <c r="T15" t="s">
        <v>29</v>
      </c>
      <c r="U15" t="s">
        <v>82</v>
      </c>
      <c r="V15" t="s">
        <v>83</v>
      </c>
      <c r="W15">
        <v>5</v>
      </c>
    </row>
    <row r="16" spans="1:24" x14ac:dyDescent="0.2">
      <c r="A16" t="s">
        <v>19</v>
      </c>
      <c r="B16" s="2">
        <v>45982</v>
      </c>
      <c r="C16" s="4">
        <v>0.75416666666666665</v>
      </c>
      <c r="D16" t="s">
        <v>20</v>
      </c>
      <c r="E16" t="s">
        <v>21</v>
      </c>
      <c r="F16" t="s">
        <v>64</v>
      </c>
      <c r="G16" t="str">
        <f t="shared" si="2"/>
        <v>text_overlay</v>
      </c>
      <c r="H16" t="s">
        <v>170</v>
      </c>
      <c r="I16">
        <v>8.8699999999999992</v>
      </c>
      <c r="J16">
        <v>26402</v>
      </c>
      <c r="K16">
        <v>627</v>
      </c>
      <c r="L16">
        <v>284</v>
      </c>
      <c r="M16">
        <v>192</v>
      </c>
      <c r="N16">
        <v>357</v>
      </c>
      <c r="O16">
        <f t="shared" si="0"/>
        <v>5.5298840996894173E-2</v>
      </c>
      <c r="P16" t="str">
        <f t="shared" si="1"/>
        <v>High</v>
      </c>
      <c r="Q16">
        <v>15</v>
      </c>
      <c r="R16" s="3">
        <v>0.2046</v>
      </c>
      <c r="S16">
        <v>5</v>
      </c>
      <c r="T16" t="s">
        <v>50</v>
      </c>
      <c r="U16" t="s">
        <v>51</v>
      </c>
      <c r="V16" t="s">
        <v>52</v>
      </c>
      <c r="W16">
        <v>5</v>
      </c>
    </row>
    <row r="17" spans="1:23" x14ac:dyDescent="0.2">
      <c r="A17" t="s">
        <v>103</v>
      </c>
      <c r="B17" s="2">
        <v>46007</v>
      </c>
      <c r="C17" s="4">
        <v>0.56736111111111109</v>
      </c>
      <c r="D17" t="s">
        <v>89</v>
      </c>
      <c r="E17" t="s">
        <v>49</v>
      </c>
      <c r="F17" t="s">
        <v>65</v>
      </c>
      <c r="G17" t="str">
        <f t="shared" si="2"/>
        <v>voiceover</v>
      </c>
      <c r="H17" t="s">
        <v>171</v>
      </c>
      <c r="I17">
        <v>39.1</v>
      </c>
      <c r="J17">
        <v>1592</v>
      </c>
      <c r="K17">
        <v>48</v>
      </c>
      <c r="L17">
        <v>30</v>
      </c>
      <c r="M17">
        <v>3</v>
      </c>
      <c r="N17">
        <v>6</v>
      </c>
      <c r="O17">
        <f t="shared" si="0"/>
        <v>5.4648241206030151E-2</v>
      </c>
      <c r="P17" t="str">
        <f t="shared" si="1"/>
        <v>High</v>
      </c>
      <c r="Q17">
        <v>22</v>
      </c>
      <c r="R17" s="3">
        <v>7.4400000000000008E-2</v>
      </c>
      <c r="S17">
        <v>10.4</v>
      </c>
      <c r="T17" t="s">
        <v>29</v>
      </c>
      <c r="U17" t="s">
        <v>73</v>
      </c>
      <c r="V17" t="s">
        <v>104</v>
      </c>
      <c r="W17">
        <v>5</v>
      </c>
    </row>
    <row r="18" spans="1:23" x14ac:dyDescent="0.2">
      <c r="A18" t="s">
        <v>144</v>
      </c>
      <c r="B18" s="2">
        <v>45985</v>
      </c>
      <c r="C18" s="4">
        <v>0.31041666666666667</v>
      </c>
      <c r="D18" t="s">
        <v>48</v>
      </c>
      <c r="E18" t="s">
        <v>35</v>
      </c>
      <c r="F18" t="s">
        <v>64</v>
      </c>
      <c r="G18" t="str">
        <f t="shared" si="2"/>
        <v>text_overlay</v>
      </c>
      <c r="H18" t="s">
        <v>170</v>
      </c>
      <c r="I18">
        <v>15</v>
      </c>
      <c r="J18">
        <v>1045</v>
      </c>
      <c r="K18">
        <v>49</v>
      </c>
      <c r="L18">
        <v>3</v>
      </c>
      <c r="M18">
        <v>0</v>
      </c>
      <c r="N18">
        <v>5</v>
      </c>
      <c r="O18">
        <f t="shared" si="0"/>
        <v>5.4545454545454543E-2</v>
      </c>
      <c r="P18" t="str">
        <f t="shared" si="1"/>
        <v>High</v>
      </c>
      <c r="Q18">
        <v>1</v>
      </c>
      <c r="R18" s="3">
        <v>1.7000000000000001E-2</v>
      </c>
      <c r="S18">
        <v>3</v>
      </c>
      <c r="T18" t="s">
        <v>29</v>
      </c>
      <c r="U18" t="s">
        <v>145</v>
      </c>
      <c r="V18" t="s">
        <v>146</v>
      </c>
      <c r="W18">
        <v>4</v>
      </c>
    </row>
    <row r="19" spans="1:23" x14ac:dyDescent="0.2">
      <c r="A19" t="s">
        <v>81</v>
      </c>
      <c r="B19" s="2">
        <v>46012</v>
      </c>
      <c r="C19" s="4">
        <v>0.60902777777777772</v>
      </c>
      <c r="D19" t="s">
        <v>43</v>
      </c>
      <c r="E19" t="s">
        <v>49</v>
      </c>
      <c r="F19" t="s">
        <v>65</v>
      </c>
      <c r="G19" t="str">
        <f t="shared" si="2"/>
        <v>voiceover</v>
      </c>
      <c r="H19" t="s">
        <v>170</v>
      </c>
      <c r="I19">
        <v>32.81</v>
      </c>
      <c r="J19">
        <v>1704</v>
      </c>
      <c r="K19">
        <v>61</v>
      </c>
      <c r="L19">
        <v>14</v>
      </c>
      <c r="M19">
        <v>4</v>
      </c>
      <c r="N19">
        <v>11</v>
      </c>
      <c r="O19">
        <f t="shared" si="0"/>
        <v>5.2816901408450703E-2</v>
      </c>
      <c r="P19" t="str">
        <f t="shared" si="1"/>
        <v>High</v>
      </c>
      <c r="Q19">
        <v>17</v>
      </c>
      <c r="R19" s="3">
        <v>7.0300000000000001E-2</v>
      </c>
      <c r="S19">
        <v>9.9</v>
      </c>
      <c r="T19" t="s">
        <v>94</v>
      </c>
      <c r="U19" t="s">
        <v>95</v>
      </c>
      <c r="V19" t="s">
        <v>96</v>
      </c>
      <c r="W19">
        <v>3</v>
      </c>
    </row>
    <row r="20" spans="1:23" x14ac:dyDescent="0.2">
      <c r="A20" t="s">
        <v>47</v>
      </c>
      <c r="B20" s="2">
        <v>45985</v>
      </c>
      <c r="C20" s="4">
        <v>0.57499999999999996</v>
      </c>
      <c r="D20" t="s">
        <v>48</v>
      </c>
      <c r="E20" t="s">
        <v>49</v>
      </c>
      <c r="F20" t="s">
        <v>64</v>
      </c>
      <c r="G20" t="str">
        <f t="shared" si="2"/>
        <v>text_overlay</v>
      </c>
      <c r="H20" t="s">
        <v>172</v>
      </c>
      <c r="I20">
        <v>7.7</v>
      </c>
      <c r="J20">
        <v>3555</v>
      </c>
      <c r="K20">
        <v>83</v>
      </c>
      <c r="L20">
        <v>49</v>
      </c>
      <c r="M20">
        <v>10</v>
      </c>
      <c r="N20">
        <v>44</v>
      </c>
      <c r="O20">
        <f t="shared" si="0"/>
        <v>5.2320675105485229E-2</v>
      </c>
      <c r="P20" t="str">
        <f t="shared" si="1"/>
        <v>High</v>
      </c>
      <c r="Q20">
        <v>18</v>
      </c>
      <c r="R20" s="3">
        <v>5.8400000000000001E-2</v>
      </c>
      <c r="S20">
        <v>9</v>
      </c>
      <c r="T20" t="s">
        <v>41</v>
      </c>
      <c r="U20" t="s">
        <v>54</v>
      </c>
      <c r="V20" t="s">
        <v>39</v>
      </c>
      <c r="W20">
        <v>5</v>
      </c>
    </row>
    <row r="21" spans="1:23" x14ac:dyDescent="0.2">
      <c r="A21" t="s">
        <v>140</v>
      </c>
      <c r="B21" s="2">
        <v>45982</v>
      </c>
      <c r="C21" s="4">
        <v>0.34791666666666665</v>
      </c>
      <c r="D21" t="s">
        <v>20</v>
      </c>
      <c r="E21" t="s">
        <v>35</v>
      </c>
      <c r="F21" t="s">
        <v>65</v>
      </c>
      <c r="G21" t="str">
        <f>LOWER(TRIM(F21))</f>
        <v>voiceover</v>
      </c>
      <c r="H21" t="s">
        <v>171</v>
      </c>
      <c r="I21">
        <v>35</v>
      </c>
      <c r="J21">
        <v>486</v>
      </c>
      <c r="K21">
        <v>16</v>
      </c>
      <c r="L21">
        <v>6</v>
      </c>
      <c r="M21">
        <v>0</v>
      </c>
      <c r="N21">
        <v>2</v>
      </c>
      <c r="O21">
        <f t="shared" si="0"/>
        <v>4.9382716049382713E-2</v>
      </c>
      <c r="P21" t="str">
        <f t="shared" si="1"/>
        <v>High</v>
      </c>
      <c r="Q21">
        <v>3</v>
      </c>
      <c r="R21" s="3">
        <v>7.2599999999999998E-2</v>
      </c>
      <c r="S21">
        <v>10.5</v>
      </c>
      <c r="T21" t="s">
        <v>141</v>
      </c>
      <c r="U21" t="s">
        <v>142</v>
      </c>
      <c r="V21" t="s">
        <v>143</v>
      </c>
      <c r="W21">
        <v>4</v>
      </c>
    </row>
    <row r="22" spans="1:23" x14ac:dyDescent="0.2">
      <c r="A22" t="s">
        <v>120</v>
      </c>
      <c r="B22" s="2">
        <v>45989</v>
      </c>
      <c r="C22" s="4">
        <v>0.39166666666666666</v>
      </c>
      <c r="D22" t="s">
        <v>20</v>
      </c>
      <c r="E22" t="s">
        <v>35</v>
      </c>
      <c r="F22" t="s">
        <v>66</v>
      </c>
      <c r="G22" t="str">
        <f t="shared" si="2"/>
        <v>screen_recording</v>
      </c>
      <c r="H22" t="s">
        <v>169</v>
      </c>
      <c r="I22" s="4">
        <v>0.41666666666666669</v>
      </c>
      <c r="J22">
        <v>8680</v>
      </c>
      <c r="K22">
        <v>167</v>
      </c>
      <c r="L22">
        <v>25</v>
      </c>
      <c r="M22">
        <v>57</v>
      </c>
      <c r="N22">
        <v>170</v>
      </c>
      <c r="O22">
        <f t="shared" si="0"/>
        <v>4.8271889400921662E-2</v>
      </c>
      <c r="P22" t="str">
        <f t="shared" si="1"/>
        <v>High</v>
      </c>
      <c r="Q22">
        <v>74</v>
      </c>
      <c r="R22" s="3">
        <v>3.1E-2</v>
      </c>
      <c r="S22">
        <v>10</v>
      </c>
      <c r="T22" t="s">
        <v>29</v>
      </c>
      <c r="U22" t="s">
        <v>121</v>
      </c>
      <c r="V22" t="s">
        <v>122</v>
      </c>
      <c r="W22">
        <v>4</v>
      </c>
    </row>
    <row r="23" spans="1:23" x14ac:dyDescent="0.2">
      <c r="A23" t="s">
        <v>81</v>
      </c>
      <c r="B23" s="2">
        <v>46005</v>
      </c>
      <c r="C23" s="4">
        <v>0.50902777777777775</v>
      </c>
      <c r="D23" t="s">
        <v>43</v>
      </c>
      <c r="E23" t="s">
        <v>49</v>
      </c>
      <c r="F23" t="s">
        <v>65</v>
      </c>
      <c r="G23" t="str">
        <f t="shared" si="2"/>
        <v>voiceover</v>
      </c>
      <c r="H23" t="s">
        <v>171</v>
      </c>
      <c r="I23">
        <v>22.77</v>
      </c>
      <c r="J23">
        <v>5966</v>
      </c>
      <c r="K23">
        <v>199</v>
      </c>
      <c r="L23">
        <v>24</v>
      </c>
      <c r="M23">
        <v>20</v>
      </c>
      <c r="N23">
        <v>19</v>
      </c>
      <c r="O23">
        <f t="shared" si="0"/>
        <v>4.3915521287294673E-2</v>
      </c>
      <c r="P23" t="str">
        <f t="shared" si="1"/>
        <v>High</v>
      </c>
      <c r="Q23">
        <v>119</v>
      </c>
      <c r="R23" s="3">
        <v>0.1245</v>
      </c>
      <c r="S23">
        <v>9.3000000000000007</v>
      </c>
      <c r="T23" t="s">
        <v>105</v>
      </c>
      <c r="U23" t="s">
        <v>106</v>
      </c>
      <c r="V23" t="s">
        <v>107</v>
      </c>
      <c r="W23">
        <v>5</v>
      </c>
    </row>
    <row r="24" spans="1:23" x14ac:dyDescent="0.2">
      <c r="A24" t="s">
        <v>55</v>
      </c>
      <c r="B24" s="2">
        <v>45983</v>
      </c>
      <c r="C24" s="4">
        <v>0.56736111111111109</v>
      </c>
      <c r="D24" t="s">
        <v>32</v>
      </c>
      <c r="E24" t="s">
        <v>55</v>
      </c>
      <c r="F24" t="s">
        <v>64</v>
      </c>
      <c r="G24" t="str">
        <f t="shared" si="2"/>
        <v>text_overlay</v>
      </c>
      <c r="H24" t="s">
        <v>170</v>
      </c>
      <c r="I24">
        <v>8.27</v>
      </c>
      <c r="J24">
        <v>1339</v>
      </c>
      <c r="K24">
        <v>37</v>
      </c>
      <c r="L24">
        <v>8</v>
      </c>
      <c r="M24">
        <v>1</v>
      </c>
      <c r="N24">
        <v>10</v>
      </c>
      <c r="O24">
        <f t="shared" si="0"/>
        <v>4.1822255414488425E-2</v>
      </c>
      <c r="P24" t="str">
        <f t="shared" si="1"/>
        <v>High</v>
      </c>
      <c r="Q24">
        <v>6</v>
      </c>
      <c r="R24" s="3">
        <v>0.2137</v>
      </c>
      <c r="S24">
        <v>5</v>
      </c>
      <c r="T24" t="s">
        <v>56</v>
      </c>
      <c r="U24" t="s">
        <v>57</v>
      </c>
      <c r="V24" t="s">
        <v>29</v>
      </c>
      <c r="W24">
        <v>5</v>
      </c>
    </row>
    <row r="25" spans="1:23" x14ac:dyDescent="0.2">
      <c r="A25" t="s">
        <v>147</v>
      </c>
      <c r="B25" s="2">
        <v>45986</v>
      </c>
      <c r="C25" s="4">
        <v>0.58125000000000004</v>
      </c>
      <c r="D25" t="s">
        <v>89</v>
      </c>
      <c r="E25" t="s">
        <v>35</v>
      </c>
      <c r="F25" t="s">
        <v>65</v>
      </c>
      <c r="G25" t="str">
        <f t="shared" si="2"/>
        <v>voiceover</v>
      </c>
      <c r="H25" t="s">
        <v>170</v>
      </c>
      <c r="I25">
        <v>46.67</v>
      </c>
      <c r="J25">
        <v>1049</v>
      </c>
      <c r="K25">
        <v>29</v>
      </c>
      <c r="L25">
        <v>6</v>
      </c>
      <c r="M25">
        <v>2</v>
      </c>
      <c r="N25">
        <v>6</v>
      </c>
      <c r="O25">
        <f t="shared" si="0"/>
        <v>4.0991420400381312E-2</v>
      </c>
      <c r="P25" t="str">
        <f t="shared" si="1"/>
        <v>High</v>
      </c>
      <c r="Q25">
        <v>3</v>
      </c>
      <c r="R25" s="3">
        <v>3.2099999999999997E-2</v>
      </c>
      <c r="S25">
        <v>7.6</v>
      </c>
      <c r="T25" t="s">
        <v>29</v>
      </c>
      <c r="U25" t="s">
        <v>148</v>
      </c>
      <c r="V25" t="s">
        <v>149</v>
      </c>
      <c r="W25">
        <v>5</v>
      </c>
    </row>
    <row r="26" spans="1:23" x14ac:dyDescent="0.2">
      <c r="A26" t="s">
        <v>130</v>
      </c>
      <c r="B26" s="2">
        <v>46034</v>
      </c>
      <c r="C26" s="4">
        <v>0.9291666666666667</v>
      </c>
      <c r="D26" t="s">
        <v>48</v>
      </c>
      <c r="E26" t="s">
        <v>35</v>
      </c>
      <c r="F26" t="s">
        <v>65</v>
      </c>
      <c r="G26" t="str">
        <f t="shared" si="2"/>
        <v>voiceover</v>
      </c>
      <c r="H26" t="s">
        <v>170</v>
      </c>
      <c r="I26">
        <v>34.729999999999997</v>
      </c>
      <c r="J26">
        <v>466</v>
      </c>
      <c r="K26">
        <v>12</v>
      </c>
      <c r="L26">
        <v>1</v>
      </c>
      <c r="M26">
        <v>4</v>
      </c>
      <c r="N26">
        <v>2</v>
      </c>
      <c r="O26">
        <f t="shared" si="0"/>
        <v>4.07725321888412E-2</v>
      </c>
      <c r="P26" t="str">
        <f t="shared" si="1"/>
        <v>High</v>
      </c>
      <c r="Q26">
        <v>2</v>
      </c>
      <c r="R26" s="3">
        <v>4.2800000000000005E-2</v>
      </c>
      <c r="S26">
        <v>7.1</v>
      </c>
      <c r="T26" t="s">
        <v>29</v>
      </c>
      <c r="U26" t="s">
        <v>28</v>
      </c>
      <c r="V26" t="s">
        <v>131</v>
      </c>
      <c r="W26">
        <v>5</v>
      </c>
    </row>
    <row r="27" spans="1:23" x14ac:dyDescent="0.2">
      <c r="A27" t="s">
        <v>165</v>
      </c>
      <c r="B27" s="2">
        <v>46041</v>
      </c>
      <c r="C27" s="4">
        <v>0.44791666666666669</v>
      </c>
      <c r="D27" t="s">
        <v>48</v>
      </c>
      <c r="E27" t="s">
        <v>35</v>
      </c>
      <c r="F27" t="s">
        <v>65</v>
      </c>
      <c r="G27" t="str">
        <f t="shared" si="2"/>
        <v>voiceover</v>
      </c>
      <c r="H27" t="s">
        <v>171</v>
      </c>
      <c r="I27">
        <v>25.53</v>
      </c>
      <c r="J27">
        <v>227</v>
      </c>
      <c r="K27">
        <v>7</v>
      </c>
      <c r="L27">
        <v>1</v>
      </c>
      <c r="M27">
        <v>1</v>
      </c>
      <c r="N27">
        <v>0</v>
      </c>
      <c r="O27">
        <f t="shared" si="0"/>
        <v>3.9647577092511016E-2</v>
      </c>
      <c r="P27" t="str">
        <f t="shared" si="1"/>
        <v>Low</v>
      </c>
      <c r="Q27">
        <v>0</v>
      </c>
      <c r="R27" s="3">
        <v>4.8399999999999999E-2</v>
      </c>
      <c r="S27">
        <v>4.5999999999999996</v>
      </c>
      <c r="T27" t="s">
        <v>29</v>
      </c>
      <c r="U27" t="s">
        <v>28</v>
      </c>
      <c r="V27" t="s">
        <v>159</v>
      </c>
      <c r="W27">
        <v>3</v>
      </c>
    </row>
    <row r="28" spans="1:23" x14ac:dyDescent="0.2">
      <c r="A28" t="s">
        <v>97</v>
      </c>
      <c r="B28" s="2">
        <v>46010</v>
      </c>
      <c r="C28" s="4">
        <v>0.56874999999999998</v>
      </c>
      <c r="D28" t="s">
        <v>20</v>
      </c>
      <c r="E28" t="s">
        <v>33</v>
      </c>
      <c r="F28" t="s">
        <v>65</v>
      </c>
      <c r="G28" t="str">
        <f t="shared" si="2"/>
        <v>voiceover</v>
      </c>
      <c r="H28" t="s">
        <v>170</v>
      </c>
      <c r="I28">
        <v>33.31</v>
      </c>
      <c r="J28">
        <v>950</v>
      </c>
      <c r="K28">
        <v>26</v>
      </c>
      <c r="L28">
        <v>7</v>
      </c>
      <c r="M28">
        <v>3</v>
      </c>
      <c r="N28">
        <v>1</v>
      </c>
      <c r="O28">
        <f t="shared" si="0"/>
        <v>3.8947368421052633E-2</v>
      </c>
      <c r="P28" t="str">
        <f t="shared" si="1"/>
        <v>Low</v>
      </c>
      <c r="Q28">
        <v>5</v>
      </c>
      <c r="R28" s="3">
        <v>7.0999999999999994E-2</v>
      </c>
      <c r="S28">
        <v>7.4</v>
      </c>
      <c r="T28" t="s">
        <v>98</v>
      </c>
      <c r="U28" t="s">
        <v>99</v>
      </c>
      <c r="V28" t="s">
        <v>29</v>
      </c>
      <c r="W28">
        <v>4</v>
      </c>
    </row>
    <row r="29" spans="1:23" x14ac:dyDescent="0.2">
      <c r="A29" t="s">
        <v>132</v>
      </c>
      <c r="B29" s="2">
        <v>45667</v>
      </c>
      <c r="C29" s="4">
        <v>0.74513888888888891</v>
      </c>
      <c r="D29" t="s">
        <v>32</v>
      </c>
      <c r="E29" t="s">
        <v>49</v>
      </c>
      <c r="F29" t="s">
        <v>65</v>
      </c>
      <c r="G29" t="str">
        <f t="shared" si="2"/>
        <v>voiceover</v>
      </c>
      <c r="H29" t="s">
        <v>170</v>
      </c>
      <c r="I29">
        <v>27</v>
      </c>
      <c r="J29">
        <v>639</v>
      </c>
      <c r="K29">
        <v>16</v>
      </c>
      <c r="L29">
        <v>3</v>
      </c>
      <c r="M29">
        <v>3</v>
      </c>
      <c r="N29">
        <v>0</v>
      </c>
      <c r="O29">
        <f t="shared" si="0"/>
        <v>3.4428794992175271E-2</v>
      </c>
      <c r="P29" t="str">
        <f t="shared" si="1"/>
        <v>Low</v>
      </c>
      <c r="Q29">
        <v>2</v>
      </c>
      <c r="R29" s="3">
        <v>5.9299999999999999E-2</v>
      </c>
      <c r="S29">
        <v>6.6</v>
      </c>
      <c r="T29" t="s">
        <v>29</v>
      </c>
      <c r="U29" t="s">
        <v>133</v>
      </c>
      <c r="V29" t="s">
        <v>134</v>
      </c>
      <c r="W29">
        <v>3</v>
      </c>
    </row>
    <row r="30" spans="1:23" x14ac:dyDescent="0.2">
      <c r="A30" t="s">
        <v>114</v>
      </c>
      <c r="B30" s="2">
        <v>46035</v>
      </c>
      <c r="C30" s="4">
        <v>0.59791666666666665</v>
      </c>
      <c r="D30" t="s">
        <v>89</v>
      </c>
      <c r="E30" t="s">
        <v>35</v>
      </c>
      <c r="F30" t="s">
        <v>65</v>
      </c>
      <c r="G30" t="str">
        <f t="shared" si="2"/>
        <v>voiceover</v>
      </c>
      <c r="H30" t="s">
        <v>171</v>
      </c>
      <c r="I30">
        <v>37.93</v>
      </c>
      <c r="J30">
        <v>884</v>
      </c>
      <c r="K30">
        <v>21</v>
      </c>
      <c r="L30">
        <v>0</v>
      </c>
      <c r="M30">
        <v>5</v>
      </c>
      <c r="N30">
        <v>3</v>
      </c>
      <c r="O30">
        <f t="shared" si="0"/>
        <v>3.2805429864253395E-2</v>
      </c>
      <c r="P30" t="str">
        <f t="shared" si="1"/>
        <v>Low</v>
      </c>
      <c r="Q30">
        <v>4</v>
      </c>
      <c r="R30" s="3">
        <v>1.38E-2</v>
      </c>
      <c r="S30">
        <v>4.4000000000000004</v>
      </c>
      <c r="T30" t="s">
        <v>29</v>
      </c>
      <c r="U30" t="s">
        <v>28</v>
      </c>
      <c r="V30" t="s">
        <v>52</v>
      </c>
      <c r="W30">
        <v>5</v>
      </c>
    </row>
    <row r="31" spans="1:23" x14ac:dyDescent="0.2">
      <c r="A31" t="s">
        <v>88</v>
      </c>
      <c r="B31" s="2">
        <v>46014</v>
      </c>
      <c r="C31" s="4">
        <v>0.47499999999999998</v>
      </c>
      <c r="D31" t="s">
        <v>89</v>
      </c>
      <c r="E31" t="s">
        <v>33</v>
      </c>
      <c r="F31" t="s">
        <v>64</v>
      </c>
      <c r="G31" t="str">
        <f t="shared" si="2"/>
        <v>text_overlay</v>
      </c>
      <c r="H31" t="s">
        <v>170</v>
      </c>
      <c r="I31">
        <v>5</v>
      </c>
      <c r="J31">
        <v>1108</v>
      </c>
      <c r="K31">
        <v>27</v>
      </c>
      <c r="L31">
        <v>7</v>
      </c>
      <c r="M31">
        <v>1</v>
      </c>
      <c r="N31">
        <v>1</v>
      </c>
      <c r="O31">
        <f t="shared" si="0"/>
        <v>3.2490974729241874E-2</v>
      </c>
      <c r="P31" t="str">
        <f t="shared" si="1"/>
        <v>Low</v>
      </c>
      <c r="Q31">
        <v>0</v>
      </c>
      <c r="R31" s="3">
        <v>0.32929999999999998</v>
      </c>
      <c r="S31">
        <v>5.7</v>
      </c>
      <c r="T31" t="s">
        <v>29</v>
      </c>
      <c r="U31" t="s">
        <v>90</v>
      </c>
      <c r="W31">
        <v>5</v>
      </c>
    </row>
    <row r="32" spans="1:23" x14ac:dyDescent="0.2">
      <c r="A32" t="s">
        <v>123</v>
      </c>
      <c r="B32" s="2">
        <v>46038</v>
      </c>
      <c r="C32" s="4">
        <v>0.63263888888888886</v>
      </c>
      <c r="D32" t="s">
        <v>20</v>
      </c>
      <c r="E32" t="s">
        <v>59</v>
      </c>
      <c r="F32" t="s">
        <v>65</v>
      </c>
      <c r="G32" t="str">
        <f t="shared" si="2"/>
        <v>voiceover</v>
      </c>
      <c r="H32" t="s">
        <v>170</v>
      </c>
      <c r="I32">
        <v>39.17</v>
      </c>
      <c r="J32">
        <v>748</v>
      </c>
      <c r="K32">
        <v>15</v>
      </c>
      <c r="L32">
        <v>5</v>
      </c>
      <c r="M32">
        <v>2</v>
      </c>
      <c r="N32">
        <v>1</v>
      </c>
      <c r="O32">
        <f t="shared" si="0"/>
        <v>3.074866310160428E-2</v>
      </c>
      <c r="P32" t="str">
        <f t="shared" si="1"/>
        <v>Low</v>
      </c>
      <c r="Q32">
        <v>4</v>
      </c>
      <c r="R32" s="3">
        <v>2.75E-2</v>
      </c>
      <c r="S32">
        <v>5.6</v>
      </c>
      <c r="T32" t="s">
        <v>124</v>
      </c>
      <c r="U32" t="s">
        <v>125</v>
      </c>
      <c r="V32" t="s">
        <v>59</v>
      </c>
      <c r="W32">
        <v>3</v>
      </c>
    </row>
    <row r="33" spans="1:23" x14ac:dyDescent="0.2">
      <c r="A33" t="s">
        <v>150</v>
      </c>
      <c r="B33" s="2">
        <v>45986</v>
      </c>
      <c r="C33" s="4">
        <v>0.83333333333333337</v>
      </c>
      <c r="D33" t="s">
        <v>89</v>
      </c>
      <c r="E33" t="s">
        <v>35</v>
      </c>
      <c r="F33" t="s">
        <v>65</v>
      </c>
      <c r="G33" t="str">
        <f t="shared" si="2"/>
        <v>voiceover</v>
      </c>
      <c r="H33" t="s">
        <v>171</v>
      </c>
      <c r="I33">
        <v>40.700000000000003</v>
      </c>
      <c r="J33">
        <v>1349</v>
      </c>
      <c r="K33">
        <v>30</v>
      </c>
      <c r="L33">
        <v>5</v>
      </c>
      <c r="M33">
        <v>1</v>
      </c>
      <c r="N33">
        <v>5</v>
      </c>
      <c r="O33">
        <f t="shared" si="0"/>
        <v>3.039288361749444E-2</v>
      </c>
      <c r="P33" t="str">
        <f t="shared" si="1"/>
        <v>Low</v>
      </c>
      <c r="Q33">
        <v>8</v>
      </c>
      <c r="R33" s="3">
        <v>1.5600000000000001E-2</v>
      </c>
      <c r="S33">
        <v>5.3</v>
      </c>
      <c r="T33" t="s">
        <v>29</v>
      </c>
      <c r="U33" t="s">
        <v>151</v>
      </c>
      <c r="V33" t="s">
        <v>152</v>
      </c>
      <c r="W33">
        <v>5</v>
      </c>
    </row>
    <row r="34" spans="1:23" x14ac:dyDescent="0.2">
      <c r="A34" t="s">
        <v>138</v>
      </c>
      <c r="B34" s="2">
        <v>46030</v>
      </c>
      <c r="C34" s="4">
        <v>0.40902777777777777</v>
      </c>
      <c r="D34" t="s">
        <v>25</v>
      </c>
      <c r="E34" t="s">
        <v>35</v>
      </c>
      <c r="F34" t="s">
        <v>65</v>
      </c>
      <c r="G34" t="str">
        <f t="shared" si="2"/>
        <v>voiceover</v>
      </c>
      <c r="H34" t="s">
        <v>171</v>
      </c>
      <c r="I34">
        <v>42.23</v>
      </c>
      <c r="J34">
        <v>996</v>
      </c>
      <c r="K34">
        <v>21</v>
      </c>
      <c r="L34">
        <v>1</v>
      </c>
      <c r="M34">
        <v>5</v>
      </c>
      <c r="N34">
        <v>3</v>
      </c>
      <c r="O34">
        <f t="shared" ref="O34:O51" si="3">(K34+L34+M34+N34)/J34</f>
        <v>3.0120481927710843E-2</v>
      </c>
      <c r="P34" t="str">
        <f t="shared" ref="P34:P51" si="4">IF(O34&gt;$O$54, "High","Low")</f>
        <v>Low</v>
      </c>
      <c r="Q34">
        <v>0</v>
      </c>
      <c r="R34" s="3">
        <v>3.2599999999999997E-2</v>
      </c>
      <c r="S34">
        <v>6.6</v>
      </c>
      <c r="T34" t="s">
        <v>29</v>
      </c>
      <c r="U34" t="s">
        <v>139</v>
      </c>
      <c r="V34" t="s">
        <v>131</v>
      </c>
      <c r="W34">
        <v>5</v>
      </c>
    </row>
    <row r="35" spans="1:23" x14ac:dyDescent="0.2">
      <c r="A35" t="s">
        <v>93</v>
      </c>
      <c r="B35" s="2">
        <v>46014</v>
      </c>
      <c r="C35" s="4">
        <v>0.35069444444444442</v>
      </c>
      <c r="D35" t="s">
        <v>89</v>
      </c>
      <c r="E35" t="s">
        <v>55</v>
      </c>
      <c r="F35" t="s">
        <v>64</v>
      </c>
      <c r="G35" t="str">
        <f t="shared" si="2"/>
        <v>text_overlay</v>
      </c>
      <c r="H35" t="s">
        <v>170</v>
      </c>
      <c r="I35">
        <v>6.97</v>
      </c>
      <c r="J35">
        <v>483</v>
      </c>
      <c r="K35">
        <v>13</v>
      </c>
      <c r="L35">
        <v>1</v>
      </c>
      <c r="M35">
        <v>0</v>
      </c>
      <c r="N35">
        <v>0</v>
      </c>
      <c r="O35">
        <f t="shared" si="3"/>
        <v>2.8985507246376812E-2</v>
      </c>
      <c r="P35" t="str">
        <f t="shared" si="4"/>
        <v>Low</v>
      </c>
      <c r="Q35">
        <v>0</v>
      </c>
      <c r="R35" s="3">
        <v>0.182</v>
      </c>
      <c r="S35">
        <v>3.9</v>
      </c>
      <c r="T35" t="s">
        <v>29</v>
      </c>
      <c r="U35" t="s">
        <v>92</v>
      </c>
      <c r="V35" t="s">
        <v>91</v>
      </c>
      <c r="W35">
        <v>3</v>
      </c>
    </row>
    <row r="36" spans="1:23" x14ac:dyDescent="0.2">
      <c r="A36" t="s">
        <v>100</v>
      </c>
      <c r="B36" s="2">
        <v>46008</v>
      </c>
      <c r="C36" s="4">
        <v>0.4513888888888889</v>
      </c>
      <c r="D36" t="s">
        <v>85</v>
      </c>
      <c r="E36" t="s">
        <v>49</v>
      </c>
      <c r="F36" t="s">
        <v>65</v>
      </c>
      <c r="G36" t="str">
        <f t="shared" si="2"/>
        <v>voiceover</v>
      </c>
      <c r="H36" t="s">
        <v>171</v>
      </c>
      <c r="I36">
        <v>30.43</v>
      </c>
      <c r="J36">
        <v>991</v>
      </c>
      <c r="K36">
        <v>15</v>
      </c>
      <c r="L36">
        <v>10</v>
      </c>
      <c r="M36">
        <v>0</v>
      </c>
      <c r="N36">
        <v>1</v>
      </c>
      <c r="O36">
        <f t="shared" si="3"/>
        <v>2.6236125126135216E-2</v>
      </c>
      <c r="P36" t="str">
        <f t="shared" si="4"/>
        <v>Low</v>
      </c>
      <c r="Q36">
        <v>2</v>
      </c>
      <c r="R36" s="3">
        <v>4.7399999999999998E-2</v>
      </c>
      <c r="S36">
        <v>5.4</v>
      </c>
      <c r="T36" t="s">
        <v>29</v>
      </c>
      <c r="U36" t="s">
        <v>101</v>
      </c>
      <c r="V36" t="s">
        <v>102</v>
      </c>
      <c r="W36">
        <v>5</v>
      </c>
    </row>
    <row r="37" spans="1:23" x14ac:dyDescent="0.2">
      <c r="A37" t="s">
        <v>31</v>
      </c>
      <c r="B37" s="2">
        <v>45983</v>
      </c>
      <c r="C37" s="4">
        <v>0.36875000000000002</v>
      </c>
      <c r="D37" t="s">
        <v>32</v>
      </c>
      <c r="E37" t="s">
        <v>33</v>
      </c>
      <c r="F37" t="s">
        <v>64</v>
      </c>
      <c r="G37" t="str">
        <f>LOWER(TRIM(F37))</f>
        <v>text_overlay</v>
      </c>
      <c r="H37" t="s">
        <v>170</v>
      </c>
      <c r="I37">
        <v>6.6</v>
      </c>
      <c r="J37">
        <v>12824</v>
      </c>
      <c r="K37">
        <v>142</v>
      </c>
      <c r="L37">
        <v>110</v>
      </c>
      <c r="M37">
        <v>27</v>
      </c>
      <c r="N37">
        <v>43</v>
      </c>
      <c r="O37">
        <f t="shared" si="3"/>
        <v>2.5109170305676855E-2</v>
      </c>
      <c r="P37" t="str">
        <f t="shared" si="4"/>
        <v>Low</v>
      </c>
      <c r="Q37">
        <v>1</v>
      </c>
      <c r="R37" s="3">
        <v>0.2273</v>
      </c>
      <c r="S37">
        <v>5.0999999999999996</v>
      </c>
      <c r="T37" t="s">
        <v>45</v>
      </c>
      <c r="U37" t="s">
        <v>60</v>
      </c>
      <c r="V37" t="s">
        <v>61</v>
      </c>
      <c r="W37">
        <v>5</v>
      </c>
    </row>
    <row r="38" spans="1:23" x14ac:dyDescent="0.2">
      <c r="A38" t="s">
        <v>78</v>
      </c>
      <c r="B38" s="2">
        <v>45998</v>
      </c>
      <c r="C38" s="4">
        <v>0.75069444444444444</v>
      </c>
      <c r="D38" t="s">
        <v>43</v>
      </c>
      <c r="E38" t="s">
        <v>55</v>
      </c>
      <c r="F38" t="s">
        <v>64</v>
      </c>
      <c r="G38" t="str">
        <f t="shared" si="2"/>
        <v>text_overlay</v>
      </c>
      <c r="H38" t="s">
        <v>170</v>
      </c>
      <c r="I38">
        <v>9.7100000000000009</v>
      </c>
      <c r="J38">
        <v>8790</v>
      </c>
      <c r="K38">
        <v>101</v>
      </c>
      <c r="L38">
        <v>46</v>
      </c>
      <c r="M38">
        <v>23</v>
      </c>
      <c r="N38">
        <v>38</v>
      </c>
      <c r="O38">
        <f t="shared" si="3"/>
        <v>2.3663253697383389E-2</v>
      </c>
      <c r="P38" t="str">
        <f t="shared" si="4"/>
        <v>Low</v>
      </c>
      <c r="Q38">
        <v>52</v>
      </c>
      <c r="R38" s="3">
        <v>0.20499999999999999</v>
      </c>
      <c r="S38">
        <v>7.1</v>
      </c>
      <c r="T38" t="s">
        <v>29</v>
      </c>
      <c r="U38" t="s">
        <v>79</v>
      </c>
      <c r="V38" t="s">
        <v>80</v>
      </c>
      <c r="W38">
        <v>5</v>
      </c>
    </row>
    <row r="39" spans="1:23" x14ac:dyDescent="0.2">
      <c r="A39" t="s">
        <v>155</v>
      </c>
      <c r="B39" s="2">
        <v>45987</v>
      </c>
      <c r="C39" s="4">
        <v>0.78541666666666665</v>
      </c>
      <c r="D39" t="s">
        <v>85</v>
      </c>
      <c r="E39" t="s">
        <v>49</v>
      </c>
      <c r="F39" t="s">
        <v>64</v>
      </c>
      <c r="G39" t="str">
        <f t="shared" si="2"/>
        <v>text_overlay</v>
      </c>
      <c r="H39" t="s">
        <v>170</v>
      </c>
      <c r="I39">
        <v>8.6</v>
      </c>
      <c r="J39">
        <v>1020</v>
      </c>
      <c r="K39">
        <v>15</v>
      </c>
      <c r="L39">
        <v>6</v>
      </c>
      <c r="M39">
        <v>0</v>
      </c>
      <c r="N39">
        <v>3</v>
      </c>
      <c r="O39">
        <f t="shared" si="3"/>
        <v>2.3529411764705882E-2</v>
      </c>
      <c r="P39" t="str">
        <f t="shared" si="4"/>
        <v>Low</v>
      </c>
      <c r="Q39">
        <v>3</v>
      </c>
      <c r="R39" s="3">
        <v>0.14150000000000001</v>
      </c>
      <c r="S39">
        <v>5.5</v>
      </c>
      <c r="T39" t="s">
        <v>29</v>
      </c>
      <c r="W39">
        <v>1</v>
      </c>
    </row>
    <row r="40" spans="1:23" x14ac:dyDescent="0.2">
      <c r="A40" t="s">
        <v>115</v>
      </c>
      <c r="B40" s="2">
        <v>46033</v>
      </c>
      <c r="C40" s="4">
        <v>0.43472222222222223</v>
      </c>
      <c r="D40" t="s">
        <v>43</v>
      </c>
      <c r="E40" t="s">
        <v>21</v>
      </c>
      <c r="F40" t="s">
        <v>64</v>
      </c>
      <c r="G40" t="str">
        <f t="shared" si="2"/>
        <v>text_overlay</v>
      </c>
      <c r="H40" t="s">
        <v>171</v>
      </c>
      <c r="I40">
        <v>10.59</v>
      </c>
      <c r="J40">
        <v>1067</v>
      </c>
      <c r="K40">
        <v>16</v>
      </c>
      <c r="L40">
        <v>7</v>
      </c>
      <c r="M40">
        <v>0</v>
      </c>
      <c r="N40">
        <v>2</v>
      </c>
      <c r="O40">
        <f t="shared" si="3"/>
        <v>2.3430178069353328E-2</v>
      </c>
      <c r="P40" t="str">
        <f t="shared" si="4"/>
        <v>Low</v>
      </c>
      <c r="Q40">
        <v>2</v>
      </c>
      <c r="R40" s="3">
        <v>8.3900000000000002E-2</v>
      </c>
      <c r="S40">
        <v>4.0999999999999996</v>
      </c>
      <c r="T40" t="s">
        <v>29</v>
      </c>
      <c r="U40" t="s">
        <v>116</v>
      </c>
      <c r="V40" t="s">
        <v>117</v>
      </c>
      <c r="W40">
        <v>3</v>
      </c>
    </row>
    <row r="41" spans="1:23" x14ac:dyDescent="0.2">
      <c r="A41" t="s">
        <v>135</v>
      </c>
      <c r="B41" s="2">
        <v>46031</v>
      </c>
      <c r="C41" s="4">
        <v>0.38958333333333334</v>
      </c>
      <c r="D41" t="s">
        <v>20</v>
      </c>
      <c r="E41" t="s">
        <v>35</v>
      </c>
      <c r="F41" t="s">
        <v>65</v>
      </c>
      <c r="G41" t="str">
        <f t="shared" si="2"/>
        <v>voiceover</v>
      </c>
      <c r="H41" t="s">
        <v>171</v>
      </c>
      <c r="I41">
        <v>40.799999999999997</v>
      </c>
      <c r="J41">
        <v>1078</v>
      </c>
      <c r="K41">
        <v>17</v>
      </c>
      <c r="L41">
        <v>4</v>
      </c>
      <c r="M41">
        <v>2</v>
      </c>
      <c r="N41">
        <v>1</v>
      </c>
      <c r="O41">
        <f t="shared" si="3"/>
        <v>2.2263450834879406E-2</v>
      </c>
      <c r="P41" t="str">
        <f t="shared" si="4"/>
        <v>Low</v>
      </c>
      <c r="Q41">
        <v>3</v>
      </c>
      <c r="R41" s="3">
        <v>1.5700000000000002E-2</v>
      </c>
      <c r="S41">
        <v>5.8</v>
      </c>
      <c r="T41" t="s">
        <v>29</v>
      </c>
      <c r="U41" t="s">
        <v>28</v>
      </c>
      <c r="V41" t="s">
        <v>136</v>
      </c>
      <c r="W41">
        <v>3</v>
      </c>
    </row>
    <row r="42" spans="1:23" x14ac:dyDescent="0.2">
      <c r="A42" t="s">
        <v>58</v>
      </c>
      <c r="B42" s="2">
        <v>45982</v>
      </c>
      <c r="C42" s="4">
        <v>0.45069444444444445</v>
      </c>
      <c r="D42" t="s">
        <v>20</v>
      </c>
      <c r="E42" t="s">
        <v>59</v>
      </c>
      <c r="F42" t="s">
        <v>64</v>
      </c>
      <c r="G42" t="str">
        <f t="shared" si="2"/>
        <v>text_overlay</v>
      </c>
      <c r="H42" t="s">
        <v>169</v>
      </c>
      <c r="I42">
        <v>6.5</v>
      </c>
      <c r="J42">
        <v>1218</v>
      </c>
      <c r="K42">
        <v>23</v>
      </c>
      <c r="L42">
        <v>2</v>
      </c>
      <c r="M42">
        <v>0</v>
      </c>
      <c r="N42">
        <v>2</v>
      </c>
      <c r="O42">
        <f t="shared" si="3"/>
        <v>2.2167487684729065E-2</v>
      </c>
      <c r="P42" t="str">
        <f t="shared" si="4"/>
        <v>Low</v>
      </c>
      <c r="Q42">
        <v>28</v>
      </c>
      <c r="R42" s="3">
        <v>9.5199999999999993E-2</v>
      </c>
      <c r="S42">
        <v>14</v>
      </c>
      <c r="T42" t="s">
        <v>24</v>
      </c>
      <c r="U42" t="s">
        <v>63</v>
      </c>
      <c r="V42" t="s">
        <v>29</v>
      </c>
      <c r="W42">
        <v>5</v>
      </c>
    </row>
    <row r="43" spans="1:23" x14ac:dyDescent="0.2">
      <c r="A43" t="s">
        <v>84</v>
      </c>
      <c r="B43" s="2">
        <v>46022</v>
      </c>
      <c r="C43" s="4">
        <v>0.81180555555555556</v>
      </c>
      <c r="D43" t="s">
        <v>85</v>
      </c>
      <c r="E43" t="s">
        <v>55</v>
      </c>
      <c r="F43" t="s">
        <v>65</v>
      </c>
      <c r="G43" t="str">
        <f t="shared" si="2"/>
        <v>voiceover</v>
      </c>
      <c r="H43" t="s">
        <v>171</v>
      </c>
      <c r="I43">
        <v>34.93</v>
      </c>
      <c r="J43">
        <v>925</v>
      </c>
      <c r="K43">
        <v>15</v>
      </c>
      <c r="L43">
        <v>2</v>
      </c>
      <c r="M43">
        <v>2</v>
      </c>
      <c r="N43">
        <v>1</v>
      </c>
      <c r="O43">
        <f t="shared" si="3"/>
        <v>2.1621621621621623E-2</v>
      </c>
      <c r="P43" t="str">
        <f t="shared" si="4"/>
        <v>Low</v>
      </c>
      <c r="Q43">
        <v>3</v>
      </c>
      <c r="R43" s="3">
        <v>2.58E-2</v>
      </c>
      <c r="S43">
        <v>4</v>
      </c>
      <c r="T43" t="s">
        <v>29</v>
      </c>
      <c r="U43" t="s">
        <v>86</v>
      </c>
      <c r="V43" t="s">
        <v>87</v>
      </c>
      <c r="W43">
        <v>5</v>
      </c>
    </row>
    <row r="44" spans="1:23" x14ac:dyDescent="0.2">
      <c r="A44" t="s">
        <v>114</v>
      </c>
      <c r="B44" s="2">
        <v>46034</v>
      </c>
      <c r="C44" s="4">
        <v>0.77152777777777781</v>
      </c>
      <c r="D44" t="s">
        <v>48</v>
      </c>
      <c r="E44" t="s">
        <v>35</v>
      </c>
      <c r="F44" t="s">
        <v>64</v>
      </c>
      <c r="G44" t="str">
        <f t="shared" si="2"/>
        <v>text_overlay</v>
      </c>
      <c r="H44" t="s">
        <v>170</v>
      </c>
      <c r="I44">
        <v>9.1</v>
      </c>
      <c r="J44">
        <v>940</v>
      </c>
      <c r="K44">
        <v>14</v>
      </c>
      <c r="L44">
        <v>1</v>
      </c>
      <c r="M44">
        <v>1</v>
      </c>
      <c r="N44">
        <v>2</v>
      </c>
      <c r="O44">
        <f t="shared" si="3"/>
        <v>1.9148936170212766E-2</v>
      </c>
      <c r="P44" t="str">
        <f t="shared" si="4"/>
        <v>Low</v>
      </c>
      <c r="Q44">
        <v>0</v>
      </c>
      <c r="R44" s="3">
        <v>0.11779999999999999</v>
      </c>
      <c r="S44">
        <v>3.9</v>
      </c>
      <c r="T44" t="s">
        <v>29</v>
      </c>
      <c r="U44" t="s">
        <v>28</v>
      </c>
      <c r="V44" t="s">
        <v>52</v>
      </c>
      <c r="W44">
        <v>3</v>
      </c>
    </row>
    <row r="45" spans="1:23" x14ac:dyDescent="0.2">
      <c r="A45" t="s">
        <v>108</v>
      </c>
      <c r="B45" s="2">
        <v>45999</v>
      </c>
      <c r="C45" s="4">
        <v>0.8930555555555556</v>
      </c>
      <c r="D45" t="s">
        <v>48</v>
      </c>
      <c r="E45" t="s">
        <v>35</v>
      </c>
      <c r="F45" t="s">
        <v>64</v>
      </c>
      <c r="G45" t="str">
        <f t="shared" si="2"/>
        <v>text_overlay</v>
      </c>
      <c r="H45" t="s">
        <v>170</v>
      </c>
      <c r="I45">
        <v>11.3</v>
      </c>
      <c r="J45">
        <v>1186</v>
      </c>
      <c r="K45">
        <v>16</v>
      </c>
      <c r="L45">
        <v>5</v>
      </c>
      <c r="M45">
        <v>0</v>
      </c>
      <c r="N45">
        <v>1</v>
      </c>
      <c r="O45">
        <f t="shared" si="3"/>
        <v>1.8549747048903879E-2</v>
      </c>
      <c r="P45" t="str">
        <f t="shared" si="4"/>
        <v>Low</v>
      </c>
      <c r="Q45">
        <v>2</v>
      </c>
      <c r="R45" s="3">
        <v>0.1229</v>
      </c>
      <c r="S45">
        <v>3.7</v>
      </c>
      <c r="T45" t="s">
        <v>29</v>
      </c>
      <c r="U45" t="s">
        <v>109</v>
      </c>
      <c r="V45" t="s">
        <v>110</v>
      </c>
      <c r="W45">
        <v>5</v>
      </c>
    </row>
    <row r="46" spans="1:23" x14ac:dyDescent="0.2">
      <c r="A46" t="s">
        <v>126</v>
      </c>
      <c r="B46" s="12">
        <v>46038</v>
      </c>
      <c r="C46" s="4">
        <v>0.375</v>
      </c>
      <c r="D46" t="s">
        <v>20</v>
      </c>
      <c r="E46" t="s">
        <v>35</v>
      </c>
      <c r="F46" t="s">
        <v>65</v>
      </c>
      <c r="G46" t="str">
        <f t="shared" si="2"/>
        <v>voiceover</v>
      </c>
      <c r="H46" t="s">
        <v>171</v>
      </c>
      <c r="I46">
        <v>38.43</v>
      </c>
      <c r="J46">
        <v>798</v>
      </c>
      <c r="K46">
        <v>8</v>
      </c>
      <c r="L46">
        <v>4</v>
      </c>
      <c r="M46">
        <v>1</v>
      </c>
      <c r="N46">
        <v>0</v>
      </c>
      <c r="O46">
        <f t="shared" si="3"/>
        <v>1.6290726817042606E-2</v>
      </c>
      <c r="P46" t="str">
        <f t="shared" si="4"/>
        <v>Low</v>
      </c>
      <c r="Q46">
        <v>2</v>
      </c>
      <c r="R46" s="3">
        <v>1.5900000000000001E-2</v>
      </c>
      <c r="S46">
        <v>4</v>
      </c>
      <c r="T46" t="s">
        <v>29</v>
      </c>
      <c r="U46" t="s">
        <v>45</v>
      </c>
      <c r="V46" t="s">
        <v>127</v>
      </c>
      <c r="W46">
        <v>3</v>
      </c>
    </row>
    <row r="47" spans="1:23" x14ac:dyDescent="0.2">
      <c r="A47" t="s">
        <v>153</v>
      </c>
      <c r="B47" s="2">
        <v>45987</v>
      </c>
      <c r="C47" s="4">
        <v>0.75138888888888888</v>
      </c>
      <c r="D47" t="s">
        <v>85</v>
      </c>
      <c r="E47" t="s">
        <v>33</v>
      </c>
      <c r="F47" t="s">
        <v>65</v>
      </c>
      <c r="G47" t="str">
        <f t="shared" si="2"/>
        <v>voiceover</v>
      </c>
      <c r="H47" t="s">
        <v>170</v>
      </c>
      <c r="I47">
        <v>45.2</v>
      </c>
      <c r="J47">
        <v>614</v>
      </c>
      <c r="K47">
        <v>8</v>
      </c>
      <c r="L47">
        <v>1</v>
      </c>
      <c r="M47">
        <v>0</v>
      </c>
      <c r="N47">
        <v>1</v>
      </c>
      <c r="O47">
        <f t="shared" si="3"/>
        <v>1.6286644951140065E-2</v>
      </c>
      <c r="P47" t="str">
        <f t="shared" si="4"/>
        <v>Low</v>
      </c>
      <c r="Q47">
        <v>1</v>
      </c>
      <c r="R47" s="3">
        <v>4.4199999999999996E-2</v>
      </c>
      <c r="S47">
        <v>10.199999999999999</v>
      </c>
      <c r="T47" t="s">
        <v>29</v>
      </c>
      <c r="U47" t="s">
        <v>99</v>
      </c>
      <c r="V47" t="s">
        <v>154</v>
      </c>
      <c r="W47">
        <v>5</v>
      </c>
    </row>
    <row r="48" spans="1:23" x14ac:dyDescent="0.2">
      <c r="A48" t="s">
        <v>111</v>
      </c>
      <c r="B48" s="2">
        <v>46037</v>
      </c>
      <c r="C48" s="4">
        <v>0.55208333333333337</v>
      </c>
      <c r="D48" t="s">
        <v>25</v>
      </c>
      <c r="E48" t="s">
        <v>33</v>
      </c>
      <c r="F48" t="s">
        <v>65</v>
      </c>
      <c r="G48" t="str">
        <f t="shared" si="2"/>
        <v>voiceover</v>
      </c>
      <c r="H48" t="s">
        <v>170</v>
      </c>
      <c r="I48">
        <v>47.83</v>
      </c>
      <c r="J48">
        <v>778</v>
      </c>
      <c r="K48">
        <v>7</v>
      </c>
      <c r="L48">
        <v>1</v>
      </c>
      <c r="M48">
        <v>1</v>
      </c>
      <c r="N48">
        <v>1</v>
      </c>
      <c r="O48">
        <f t="shared" si="3"/>
        <v>1.2853470437017995E-2</v>
      </c>
      <c r="P48" t="str">
        <f t="shared" si="4"/>
        <v>Low</v>
      </c>
      <c r="Q48">
        <v>1</v>
      </c>
      <c r="R48" s="3">
        <v>9.9000000000000008E-3</v>
      </c>
      <c r="S48">
        <v>4.4000000000000004</v>
      </c>
      <c r="T48" t="s">
        <v>29</v>
      </c>
      <c r="U48" t="s">
        <v>112</v>
      </c>
      <c r="V48" t="s">
        <v>113</v>
      </c>
      <c r="W48">
        <v>3</v>
      </c>
    </row>
    <row r="49" spans="1:23" x14ac:dyDescent="0.2">
      <c r="A49" t="s">
        <v>157</v>
      </c>
      <c r="B49" s="2">
        <v>45988</v>
      </c>
      <c r="C49" s="4">
        <v>0.4826388888888889</v>
      </c>
      <c r="D49" t="s">
        <v>25</v>
      </c>
      <c r="E49" t="s">
        <v>35</v>
      </c>
      <c r="F49" t="s">
        <v>65</v>
      </c>
      <c r="G49" t="str">
        <f t="shared" si="2"/>
        <v>voiceover</v>
      </c>
      <c r="H49" t="s">
        <v>169</v>
      </c>
      <c r="I49">
        <v>41.27</v>
      </c>
      <c r="J49">
        <v>162</v>
      </c>
      <c r="K49">
        <v>1</v>
      </c>
      <c r="L49">
        <v>1</v>
      </c>
      <c r="M49">
        <v>0</v>
      </c>
      <c r="N49">
        <v>0</v>
      </c>
      <c r="O49">
        <f t="shared" si="3"/>
        <v>1.2345679012345678E-2</v>
      </c>
      <c r="P49" t="str">
        <f t="shared" si="4"/>
        <v>Low</v>
      </c>
      <c r="Q49">
        <v>0</v>
      </c>
      <c r="R49" s="3">
        <v>1.1200000000000002E-2</v>
      </c>
      <c r="S49">
        <v>3</v>
      </c>
      <c r="T49" t="s">
        <v>29</v>
      </c>
      <c r="U49" t="s">
        <v>158</v>
      </c>
      <c r="V49" t="s">
        <v>159</v>
      </c>
      <c r="W49">
        <v>5</v>
      </c>
    </row>
    <row r="50" spans="1:23" x14ac:dyDescent="0.2">
      <c r="A50" t="s">
        <v>128</v>
      </c>
      <c r="B50" s="2">
        <v>46036</v>
      </c>
      <c r="C50" s="4">
        <v>0.44861111111111113</v>
      </c>
      <c r="D50" t="s">
        <v>85</v>
      </c>
      <c r="E50" t="s">
        <v>35</v>
      </c>
      <c r="F50" t="s">
        <v>65</v>
      </c>
      <c r="G50" t="str">
        <f t="shared" si="2"/>
        <v>voiceover</v>
      </c>
      <c r="H50" t="s">
        <v>171</v>
      </c>
      <c r="I50">
        <v>45.43</v>
      </c>
      <c r="J50">
        <v>670</v>
      </c>
      <c r="K50">
        <v>3</v>
      </c>
      <c r="L50">
        <v>2</v>
      </c>
      <c r="M50">
        <v>2</v>
      </c>
      <c r="N50">
        <v>1</v>
      </c>
      <c r="O50">
        <f t="shared" si="3"/>
        <v>1.1940298507462687E-2</v>
      </c>
      <c r="P50" t="str">
        <f t="shared" si="4"/>
        <v>Low</v>
      </c>
      <c r="Q50">
        <v>0</v>
      </c>
      <c r="R50" s="3">
        <v>0.57999999999999996</v>
      </c>
      <c r="S50">
        <v>3.1</v>
      </c>
      <c r="T50" t="s">
        <v>29</v>
      </c>
      <c r="U50" t="s">
        <v>28</v>
      </c>
      <c r="V50" t="s">
        <v>73</v>
      </c>
      <c r="W50">
        <v>5</v>
      </c>
    </row>
    <row r="51" spans="1:23" x14ac:dyDescent="0.2">
      <c r="A51" t="s">
        <v>156</v>
      </c>
      <c r="B51" s="2">
        <v>45987</v>
      </c>
      <c r="C51" s="4">
        <v>0.9458333333333333</v>
      </c>
      <c r="D51" t="s">
        <v>85</v>
      </c>
      <c r="E51" t="s">
        <v>33</v>
      </c>
      <c r="F51" t="s">
        <v>64</v>
      </c>
      <c r="G51" t="str">
        <f t="shared" si="2"/>
        <v>text_overlay</v>
      </c>
      <c r="H51" t="s">
        <v>170</v>
      </c>
      <c r="I51">
        <v>5.57</v>
      </c>
      <c r="J51">
        <v>312</v>
      </c>
      <c r="K51">
        <v>2</v>
      </c>
      <c r="L51">
        <v>0</v>
      </c>
      <c r="M51">
        <v>0</v>
      </c>
      <c r="N51">
        <v>0</v>
      </c>
      <c r="O51">
        <f t="shared" si="3"/>
        <v>6.41025641025641E-3</v>
      </c>
      <c r="P51" t="str">
        <f t="shared" si="4"/>
        <v>Low</v>
      </c>
      <c r="Q51">
        <v>0</v>
      </c>
      <c r="R51" s="3">
        <v>0.23199999999999998</v>
      </c>
      <c r="S51">
        <v>5.6</v>
      </c>
      <c r="T51" t="s">
        <v>29</v>
      </c>
      <c r="U51" t="s">
        <v>133</v>
      </c>
      <c r="V51" t="s">
        <v>129</v>
      </c>
      <c r="W51">
        <v>5</v>
      </c>
    </row>
    <row r="54" spans="1:23" x14ac:dyDescent="0.2">
      <c r="O54">
        <f>MEDIAN(O2:O51)</f>
        <v>4.0210054640676104E-2</v>
      </c>
    </row>
  </sheetData>
  <sortState xmlns:xlrd2="http://schemas.microsoft.com/office/spreadsheetml/2017/richdata2" ref="A2:W51">
    <sortCondition descending="1" ref="O2:O51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tiktok_data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Ayodele Moses</cp:lastModifiedBy>
  <dcterms:created xsi:type="dcterms:W3CDTF">2025-11-18T07:34:09Z</dcterms:created>
  <dcterms:modified xsi:type="dcterms:W3CDTF">2026-01-22T21:34:52Z</dcterms:modified>
</cp:coreProperties>
</file>